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drawings/charts/chart5.xml" ContentType="application/vnd.openxmlformats-officedocument.drawingml.chart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drawings/charts/chart6.xml" ContentType="application/vnd.openxmlformats-officedocument.drawingml.chart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drawings/charts/chart7.xml" ContentType="application/vnd.openxmlformats-officedocument.drawingml.chart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drawings/charts/chart8.xml" ContentType="application/vnd.openxmlformats-officedocument.drawingml.chart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drawings/charts/chart9.xml" ContentType="application/vnd.openxmlformats-officedocument.drawingml.chart+xml"/>
  <Override PartName="/xl/worksheets/sheet11.xml" ContentType="application/vnd.openxmlformats-officedocument.spreadsheetml.worksheet+xml"/>
  <Override PartName="/xl/drawings/drawing9.xml" ContentType="application/vnd.openxmlformats-officedocument.drawing+xml"/>
  <Override PartName="/xl/drawings/charts/chart10.xml" ContentType="application/vnd.openxmlformats-officedocument.drawingml.chart+xml"/>
  <Override PartName="/xl/drawings/charts/chart11.xml" ContentType="application/vnd.openxmlformats-officedocument.drawingml.chart+xml"/>
  <Override PartName="/xl/drawings/charts/chart12.xml" ContentType="application/vnd.openxmlformats-officedocument.drawingml.chart+xml"/>
  <Override PartName="/xl/drawings/charts/chart13.xml" ContentType="application/vnd.openxmlformats-officedocument.drawingml.chart+xml"/>
  <Override PartName="/xl/drawings/charts/chart14.xml" ContentType="application/vnd.openxmlformats-officedocument.drawingml.chart+xml"/>
  <Override PartName="/xl/worksheets/sheet12.xml" ContentType="application/vnd.openxmlformats-officedocument.spreadsheetml.worksheet+xml"/>
  <Override PartName="/xl/drawings/drawing10.xml" ContentType="application/vnd.openxmlformats-officedocument.drawing+xml"/>
  <Override PartName="/xl/drawings/charts/chart15.xml" ContentType="application/vnd.openxmlformats-officedocument.drawingml.chart+xml"/>
  <Override PartName="/xl/drawings/charts/chart16.xml" ContentType="application/vnd.openxmlformats-officedocument.drawingml.char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930f98444546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1e8e2ab712d4130"/>
    <x:sheet xmlns:r="http://schemas.openxmlformats.org/officeDocument/2006/relationships" name="IV Representatives" sheetId="2" r:id="R8ed837756cb046e6"/>
    <x:sheet xmlns:r="http://schemas.openxmlformats.org/officeDocument/2006/relationships" name="IV Metrics" sheetId="3" r:id="R971f172a046a4b12"/>
    <x:sheet xmlns:r="http://schemas.openxmlformats.org/officeDocument/2006/relationships" name="IV Gap 10" sheetId="4" r:id="Rf5fc565b5d7d4f74"/>
    <x:sheet xmlns:r="http://schemas.openxmlformats.org/officeDocument/2006/relationships" name="IV Gap 15" sheetId="5" r:id="R0b2f302be1644903"/>
    <x:sheet xmlns:r="http://schemas.openxmlformats.org/officeDocument/2006/relationships" name="IV Gap 20" sheetId="6" r:id="Rbd0257ff669548bf"/>
    <x:sheet xmlns:r="http://schemas.openxmlformats.org/officeDocument/2006/relationships" name="IV Gap 25" sheetId="7" r:id="Raefce52c1b1c4380"/>
    <x:sheet xmlns:r="http://schemas.openxmlformats.org/officeDocument/2006/relationships" name="IV Gap 30" sheetId="8" r:id="R7fc992f16e6e4ba0"/>
    <x:sheet xmlns:r="http://schemas.openxmlformats.org/officeDocument/2006/relationships" name="IV Gap 35" sheetId="9" r:id="Raa6b65d10b9749fe"/>
    <x:sheet xmlns:r="http://schemas.openxmlformats.org/officeDocument/2006/relationships" name="CV Curves" sheetId="10" r:id="Rcc22c34c11314b0b"/>
    <x:sheet xmlns:r="http://schemas.openxmlformats.org/officeDocument/2006/relationships" name="CV Fits" sheetId="11" r:id="R928812230b984be7"/>
    <x:sheet xmlns:r="http://schemas.openxmlformats.org/officeDocument/2006/relationships" name="CV Parameters" sheetId="12" r:id="R28a3f3b21f6a45ab"/>
    <x:sheet xmlns:r="http://schemas.openxmlformats.org/officeDocument/2006/relationships" name="IV Audit" sheetId="13" r:id="R889305dd8ec040dd"/>
    <x:sheet xmlns:r="http://schemas.openxmlformats.org/officeDocument/2006/relationships" name="CV Data" sheetId="14" r:id="R5cf999bbbe25458f"/>
    <x:sheet xmlns:r="http://schemas.openxmlformats.org/officeDocument/2006/relationships" name="Method" sheetId="15" r:id="R135acb465ce647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F2937"/>
      <x:name val="Arial"/>
    </x:font>
    <x:font>
      <x:b/>
      <x:sz val="16"/>
      <x:color rgb="FF1F2937"/>
      <x:name val="Arial"/>
    </x:font>
    <x:font>
      <x:i/>
      <x:sz val="10"/>
      <x:color rgb="FF6B728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bottom style="thin">
        <x:color rgb="FF17365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616645b94f4b65" /><Relationship Type="http://schemas.openxmlformats.org/officeDocument/2006/relationships/theme" Target="/xl/theme/theme1.xml" Id="R9f8ac5ca6ce94bfa" /><Relationship Type="http://schemas.microsoft.com/office/2022/11/relationships/FeaturePropertyBag" Target="/xl/featurePropertyBag/featurePropertyBag.xml" Id="Rf2f87458ad0f422e" /><Relationship Type="http://schemas.openxmlformats.org/officeDocument/2006/relationships/sharedStrings" Target="/xl/sharedStrings.xml" Id="R21d0e3fa1a0f4c52" /><Relationship Type="http://schemas.openxmlformats.org/officeDocument/2006/relationships/worksheet" Target="/xl/worksheets/sheet1.xml" Id="R31e8e2ab712d4130" /><Relationship Type="http://schemas.openxmlformats.org/officeDocument/2006/relationships/worksheet" Target="/xl/worksheets/sheet2.xml" Id="R8ed837756cb046e6" /><Relationship Type="http://schemas.openxmlformats.org/officeDocument/2006/relationships/worksheet" Target="/xl/worksheets/sheet3.xml" Id="R971f172a046a4b12" /><Relationship Type="http://schemas.openxmlformats.org/officeDocument/2006/relationships/worksheet" Target="/xl/worksheets/sheet4.xml" Id="Rf5fc565b5d7d4f74" /><Relationship Type="http://schemas.openxmlformats.org/officeDocument/2006/relationships/worksheet" Target="/xl/worksheets/sheet5.xml" Id="R0b2f302be1644903" /><Relationship Type="http://schemas.openxmlformats.org/officeDocument/2006/relationships/worksheet" Target="/xl/worksheets/sheet6.xml" Id="Rbd0257ff669548bf" /><Relationship Type="http://schemas.openxmlformats.org/officeDocument/2006/relationships/worksheet" Target="/xl/worksheets/sheet7.xml" Id="Raefce52c1b1c4380" /><Relationship Type="http://schemas.openxmlformats.org/officeDocument/2006/relationships/worksheet" Target="/xl/worksheets/sheet8.xml" Id="R7fc992f16e6e4ba0" /><Relationship Type="http://schemas.openxmlformats.org/officeDocument/2006/relationships/worksheet" Target="/xl/worksheets/sheet9.xml" Id="Raa6b65d10b9749fe" /><Relationship Type="http://schemas.openxmlformats.org/officeDocument/2006/relationships/worksheet" Target="/xl/worksheets/sheet10.xml" Id="Rcc22c34c11314b0b" /><Relationship Type="http://schemas.openxmlformats.org/officeDocument/2006/relationships/worksheet" Target="/xl/worksheets/sheet11.xml" Id="R928812230b984be7" /><Relationship Type="http://schemas.openxmlformats.org/officeDocument/2006/relationships/worksheet" Target="/xl/worksheets/sheet12.xml" Id="R28a3f3b21f6a45ab" /><Relationship Type="http://schemas.openxmlformats.org/officeDocument/2006/relationships/worksheet" Target="/xl/worksheets/sheet13.xml" Id="R889305dd8ec040dd" /><Relationship Type="http://schemas.openxmlformats.org/officeDocument/2006/relationships/worksheet" Target="/xl/worksheets/sheet14.xml" Id="R5cf999bbbe25458f" /><Relationship Type="http://schemas.openxmlformats.org/officeDocument/2006/relationships/worksheet" Target="/xl/worksheets/sheet15.xml" Id="R135acb465ce6472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7552a94286d4d6a" /><Relationship Type="http://schemas.openxmlformats.org/officeDocument/2006/relationships/chart" Target="/xl/drawings/charts/chart2.xml" Id="R6bf8eb74487344a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5c8a3cb9d1b740db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e360636331b94ee6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97b10d1916b1430e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af6a575bb9cc4a0c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8c87b3a5b0f640e0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chart" Target="/xl/drawings/charts/chart8.xml" Id="R9971b36c1cde4714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chart" Target="/xl/drawings/charts/chart9.xml" Id="Rf1bbd101edd24a3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chart" Target="/xl/drawings/charts/chart10.xml" Id="Rc657b8e8dd094744" /><Relationship Type="http://schemas.openxmlformats.org/officeDocument/2006/relationships/chart" Target="/xl/drawings/charts/chart11.xml" Id="R48aa7e5e614c4a81" /><Relationship Type="http://schemas.openxmlformats.org/officeDocument/2006/relationships/chart" Target="/xl/drawings/charts/chart12.xml" Id="Re0cb623cc0ae4944" /><Relationship Type="http://schemas.openxmlformats.org/officeDocument/2006/relationships/chart" Target="/xl/drawings/charts/chart13.xml" Id="R8b9b597ca2b0410d" /><Relationship Type="http://schemas.openxmlformats.org/officeDocument/2006/relationships/chart" Target="/xl/drawings/charts/chart14.xml" Id="R35937a0776c74b95" /></Relationships>
</file>

<file path=xl/drawings/_rels/drawing10.xml.rels>&#65279;<?xml version="1.0" encoding="utf-8"?><Relationships xmlns="http://schemas.openxmlformats.org/package/2006/relationships"><Relationship Type="http://schemas.openxmlformats.org/officeDocument/2006/relationships/chart" Target="/xl/drawings/charts/chart15.xml" Id="Rf5fb87c3e786411b" /><Relationship Type="http://schemas.openxmlformats.org/officeDocument/2006/relationships/chart" Target="/xl/drawings/charts/chart16.xml" Id="R5296a72795f04fe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Representative I-V on linear scale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Most Ohmic-like J: 1_35um.csv</c:v>
          </c:tx>
          <c:spPr>
            <a:solidFill xmlns:a="http://schemas.openxmlformats.org/drawingml/2006/main">
              <a:srgbClr val="2563EB"/>
            </a:solidFill>
            <a:ln xmlns:a="http://schemas.openxmlformats.org/drawingml/2006/main" w="19050">
              <a:solidFill>
                <a:srgbClr val="2563EB"/>
              </a:solidFill>
              <a:prstDash val="solid"/>
            </a:ln>
          </c:spPr>
          <c:marker>
            <c:symbol val="none"/>
          </c:marker>
          <c:cat>
            <c:strRef>
              <c:f>'IV Representatives'!$A$7:$A$207</c:f>
              <c:strCache>
                <c:ptCount val="0"/>
              </c:strCache>
            </c:strRef>
          </c:cat>
          <c:val>
            <c:numRef>
              <c:f>'IV Representatives'!$B$7:$B$207</c:f>
              <c:numCache>
                <c:formatCode>0.00E+00</c:formatCode>
                <c:ptCount val="0"/>
              </c:numCache>
            </c:numRef>
          </c:val>
          <c:smooth val="0"/>
        </c:ser>
        <c:ser>
          <c:idx val="1"/>
          <c:order val="1"/>
          <c:tx>
            <c:v>Best Schottky-like J: 3_20um.csv</c:v>
          </c:tx>
          <c:spPr>
            <a:solidFill xmlns:a="http://schemas.openxmlformats.org/drawingml/2006/main">
              <a:srgbClr val="E11D48"/>
            </a:solidFill>
            <a:ln xmlns:a="http://schemas.openxmlformats.org/drawingml/2006/main" w="19050">
              <a:solidFill>
                <a:srgbClr val="E11D48"/>
              </a:solidFill>
              <a:prstDash val="dash"/>
            </a:ln>
          </c:spPr>
          <c:marker>
            <c:symbol val="none"/>
          </c:marker>
          <c:cat>
            <c:strRef>
              <c:f>'IV Representatives'!$A$7:$A$207</c:f>
              <c:strCache>
                <c:ptCount val="0"/>
              </c:strCache>
            </c:strRef>
          </c:cat>
          <c:val>
            <c:numRef>
              <c:f>'IV Representatives'!$C$7:$C$207</c:f>
              <c:numCache>
                <c:formatCode>0.00E+00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Voltage (V)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J (A/cm^2)</a:t>
                </a:r>
              </a:p>
            </c:rich>
          </c:tx>
          <c:overlay val="0"/>
        </c:title>
        <c:numFmt formatCode="0.00E+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Representative I-V on log magnitude scale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log10(abs(J Ohmic-like))</c:v>
          </c:tx>
          <c:spPr>
            <a:solidFill xmlns:a="http://schemas.openxmlformats.org/drawingml/2006/main">
              <a:srgbClr val="2563EB"/>
            </a:solidFill>
            <a:ln xmlns:a="http://schemas.openxmlformats.org/drawingml/2006/main" w="19050">
              <a:solidFill>
                <a:srgbClr val="2563EB"/>
              </a:solidFill>
              <a:prstDash val="solid"/>
            </a:ln>
          </c:spPr>
          <c:marker>
            <c:symbol val="none"/>
          </c:marker>
          <c:cat>
            <c:strRef>
              <c:f>'IV Representatives'!$A$7:$A$207</c:f>
              <c:strCache>
                <c:ptCount val="0"/>
              </c:strCache>
            </c:strRef>
          </c:cat>
          <c:val>
            <c:numRef>
              <c:f>'IV Representatives'!$D$7:$D$207</c:f>
              <c:numCache>
                <c:formatCode>0.00E+00</c:formatCode>
                <c:ptCount val="0"/>
              </c:numCache>
            </c:numRef>
          </c:val>
          <c:smooth val="0"/>
        </c:ser>
        <c:ser>
          <c:idx val="1"/>
          <c:order val="1"/>
          <c:tx>
            <c:v>log10(abs(J Schottky-like))</c:v>
          </c:tx>
          <c:spPr>
            <a:solidFill xmlns:a="http://schemas.openxmlformats.org/drawingml/2006/main">
              <a:srgbClr val="E11D48"/>
            </a:solidFill>
            <a:ln xmlns:a="http://schemas.openxmlformats.org/drawingml/2006/main" w="19050">
              <a:solidFill>
                <a:srgbClr val="E11D48"/>
              </a:solidFill>
              <a:prstDash val="dash"/>
            </a:ln>
          </c:spPr>
          <c:marker>
            <c:symbol val="none"/>
          </c:marker>
          <c:cat>
            <c:strRef>
              <c:f>'IV Representatives'!$A$7:$A$207</c:f>
              <c:strCache>
                <c:ptCount val="0"/>
              </c:strCache>
            </c:strRef>
          </c:cat>
          <c:val>
            <c:numRef>
              <c:f>'IV Representatives'!$E$7:$E$207</c:f>
              <c:numCache>
                <c:formatCode>0.00E+00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Voltage (V)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log10(|J|)</a:t>
                </a:r>
              </a:p>
            </c:rich>
          </c:tx>
          <c:overlay val="0"/>
        </c:title>
        <c:numFmt formatCode="0.00E+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Gap 10 um: I-V comparison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Row 1</c:v>
          </c:tx>
          <c:spPr>
            <a:solidFill xmlns:a="http://schemas.openxmlformats.org/drawingml/2006/main">
              <a:srgbClr val="2563EB"/>
            </a:solidFill>
            <a:ln xmlns:a="http://schemas.openxmlformats.org/drawingml/2006/main" w="19050">
              <a:solidFill>
                <a:srgbClr val="2563EB"/>
              </a:solidFill>
              <a:prstDash val="solid"/>
            </a:ln>
          </c:spPr>
          <c:marker>
            <c:symbol val="none"/>
          </c:marker>
          <c:cat>
            <c:strRef>
              <c:f>'IV Gap 10'!$A$7:$A$126</c:f>
              <c:strCache>
                <c:ptCount val="0"/>
              </c:strCache>
            </c:strRef>
          </c:cat>
          <c:val>
            <c:numRef>
              <c:f>'IV Gap 10'!$B$7:$B$126</c:f>
              <c:numCache>
                <c:formatCode>0.00E+00</c:formatCode>
                <c:ptCount val="0"/>
              </c:numCache>
            </c:numRef>
          </c:val>
          <c:smooth val="0"/>
        </c:ser>
        <c:ser>
          <c:idx val="1"/>
          <c:order val="1"/>
          <c:tx>
            <c:v>Row 2</c:v>
          </c:tx>
          <c:spPr>
            <a:solidFill xmlns:a="http://schemas.openxmlformats.org/drawingml/2006/main">
              <a:srgbClr val="E11D48"/>
            </a:solidFill>
            <a:ln xmlns:a="http://schemas.openxmlformats.org/drawingml/2006/main" w="19050">
              <a:solidFill>
                <a:srgbClr val="E11D48"/>
              </a:solidFill>
              <a:prstDash val="dash"/>
            </a:ln>
          </c:spPr>
          <c:marker>
            <c:symbol val="none"/>
          </c:marker>
          <c:cat>
            <c:strRef>
              <c:f>'IV Gap 10'!$A$7:$A$126</c:f>
              <c:strCache>
                <c:ptCount val="0"/>
              </c:strCache>
            </c:strRef>
          </c:cat>
          <c:val>
            <c:numRef>
              <c:f>'IV Gap 10'!$C$7:$C$126</c:f>
              <c:numCache>
                <c:formatCode>0.00E+00</c:formatCode>
                <c:ptCount val="0"/>
              </c:numCache>
            </c:numRef>
          </c:val>
          <c:smooth val="0"/>
        </c:ser>
        <c:ser>
          <c:idx val="2"/>
          <c:order val="2"/>
          <c:tx>
            <c:v>Row 3</c:v>
          </c:tx>
          <c:spPr>
            <a:solidFill xmlns:a="http://schemas.openxmlformats.org/drawingml/2006/main">
              <a:srgbClr val="059669"/>
            </a:solidFill>
            <a:ln xmlns:a="http://schemas.openxmlformats.org/drawingml/2006/main" w="19050">
              <a:solidFill>
                <a:srgbClr val="059669"/>
              </a:solidFill>
              <a:prstDash val="dash"/>
            </a:ln>
          </c:spPr>
          <c:marker>
            <c:symbol val="none"/>
          </c:marker>
          <c:cat>
            <c:strRef>
              <c:f>'IV Gap 10'!$A$7:$A$126</c:f>
              <c:strCache>
                <c:ptCount val="0"/>
              </c:strCache>
            </c:strRef>
          </c:cat>
          <c:val>
            <c:numRef>
              <c:f>'IV Gap 10'!$D$7:$D$126</c:f>
              <c:numCache>
                <c:formatCode>0.00E+00</c:formatCode>
                <c:ptCount val="0"/>
              </c:numCache>
            </c:numRef>
          </c:val>
          <c:smooth val="0"/>
        </c:ser>
        <c:ser>
          <c:idx val="3"/>
          <c:order val="3"/>
          <c:tx>
            <c:v>Row 4</c:v>
          </c:tx>
          <c:spPr>
            <a:solidFill xmlns:a="http://schemas.openxmlformats.org/drawingml/2006/main">
              <a:srgbClr val="7C3AED"/>
            </a:solidFill>
            <a:ln xmlns:a="http://schemas.openxmlformats.org/drawingml/2006/main" w="19050">
              <a:solidFill>
                <a:srgbClr val="7C3AED"/>
              </a:solidFill>
              <a:prstDash val="dash"/>
            </a:ln>
          </c:spPr>
          <c:marker>
            <c:symbol val="none"/>
          </c:marker>
          <c:cat>
            <c:strRef>
              <c:f>'IV Gap 10'!$A$7:$A$126</c:f>
              <c:strCache>
                <c:ptCount val="0"/>
              </c:strCache>
            </c:strRef>
          </c:cat>
          <c:val>
            <c:numRef>
              <c:f>'IV Gap 10'!$E$7:$E$126</c:f>
              <c:numCache>
                <c:formatCode>0.00E+00</c:formatCode>
                <c:ptCount val="0"/>
              </c:numCache>
            </c:numRef>
          </c:val>
          <c:smooth val="0"/>
        </c:ser>
        <c:ser>
          <c:idx val="4"/>
          <c:order val="4"/>
          <c:tx>
            <c:v>Row 5</c:v>
          </c:tx>
          <c:spPr>
            <a:solidFill xmlns:a="http://schemas.openxmlformats.org/drawingml/2006/main">
              <a:srgbClr val="D97706"/>
            </a:solidFill>
            <a:ln xmlns:a="http://schemas.openxmlformats.org/drawingml/2006/main" w="19050">
              <a:solidFill>
                <a:srgbClr val="D97706"/>
              </a:solidFill>
              <a:prstDash val="dash"/>
            </a:ln>
          </c:spPr>
          <c:marker>
            <c:symbol val="none"/>
          </c:marker>
          <c:cat>
            <c:strRef>
              <c:f>'IV Gap 10'!$A$7:$A$126</c:f>
              <c:strCache>
                <c:ptCount val="0"/>
              </c:strCache>
            </c:strRef>
          </c:cat>
          <c:val>
            <c:numRef>
              <c:f>'IV Gap 10'!$F$7:$F$126</c:f>
              <c:numCache>
                <c:formatCode>0.00E+00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Voltage (V)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J (A/cm^2)</a:t>
                </a:r>
              </a:p>
            </c:rich>
          </c:tx>
          <c:overlay val="0"/>
        </c:title>
        <c:numFmt formatCode="0.00E+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Gap 15 um: I-V comparison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Row 1</c:v>
          </c:tx>
          <c:spPr>
            <a:solidFill xmlns:a="http://schemas.openxmlformats.org/drawingml/2006/main">
              <a:srgbClr val="2563EB"/>
            </a:solidFill>
            <a:ln xmlns:a="http://schemas.openxmlformats.org/drawingml/2006/main" w="19050">
              <a:solidFill>
                <a:srgbClr val="2563EB"/>
              </a:solidFill>
              <a:prstDash val="solid"/>
            </a:ln>
          </c:spPr>
          <c:marker>
            <c:symbol val="none"/>
          </c:marker>
          <c:cat>
            <c:strRef>
              <c:f>'IV Gap 15'!$A$7:$A$127</c:f>
              <c:strCache>
                <c:ptCount val="0"/>
              </c:strCache>
            </c:strRef>
          </c:cat>
          <c:val>
            <c:numRef>
              <c:f>'IV Gap 15'!$B$7:$B$127</c:f>
              <c:numCache>
                <c:formatCode>0.00E+00</c:formatCode>
                <c:ptCount val="0"/>
              </c:numCache>
            </c:numRef>
          </c:val>
          <c:smooth val="0"/>
        </c:ser>
        <c:ser>
          <c:idx val="1"/>
          <c:order val="1"/>
          <c:tx>
            <c:v>Row 2</c:v>
          </c:tx>
          <c:spPr>
            <a:solidFill xmlns:a="http://schemas.openxmlformats.org/drawingml/2006/main">
              <a:srgbClr val="E11D48"/>
            </a:solidFill>
            <a:ln xmlns:a="http://schemas.openxmlformats.org/drawingml/2006/main" w="19050">
              <a:solidFill>
                <a:srgbClr val="E11D48"/>
              </a:solidFill>
              <a:prstDash val="dash"/>
            </a:ln>
          </c:spPr>
          <c:marker>
            <c:symbol val="none"/>
          </c:marker>
          <c:cat>
            <c:strRef>
              <c:f>'IV Gap 15'!$A$7:$A$127</c:f>
              <c:strCache>
                <c:ptCount val="0"/>
              </c:strCache>
            </c:strRef>
          </c:cat>
          <c:val>
            <c:numRef>
              <c:f>'IV Gap 15'!$C$7:$C$127</c:f>
              <c:numCache>
                <c:formatCode>0.00E+00</c:formatCode>
                <c:ptCount val="0"/>
              </c:numCache>
            </c:numRef>
          </c:val>
          <c:smooth val="0"/>
        </c:ser>
        <c:ser>
          <c:idx val="2"/>
          <c:order val="2"/>
          <c:tx>
            <c:v>Row 3</c:v>
          </c:tx>
          <c:spPr>
            <a:solidFill xmlns:a="http://schemas.openxmlformats.org/drawingml/2006/main">
              <a:srgbClr val="059669"/>
            </a:solidFill>
            <a:ln xmlns:a="http://schemas.openxmlformats.org/drawingml/2006/main" w="19050">
              <a:solidFill>
                <a:srgbClr val="059669"/>
              </a:solidFill>
              <a:prstDash val="dash"/>
            </a:ln>
          </c:spPr>
          <c:marker>
            <c:symbol val="none"/>
          </c:marker>
          <c:cat>
            <c:strRef>
              <c:f>'IV Gap 15'!$A$7:$A$127</c:f>
              <c:strCache>
                <c:ptCount val="0"/>
              </c:strCache>
            </c:strRef>
          </c:cat>
          <c:val>
            <c:numRef>
              <c:f>'IV Gap 15'!$D$7:$D$127</c:f>
              <c:numCache>
                <c:formatCode>0.00E+00</c:formatCode>
                <c:ptCount val="0"/>
              </c:numCache>
            </c:numRef>
          </c:val>
          <c:smooth val="0"/>
        </c:ser>
        <c:ser>
          <c:idx val="3"/>
          <c:order val="3"/>
          <c:tx>
            <c:v>Row 4</c:v>
          </c:tx>
          <c:spPr>
            <a:solidFill xmlns:a="http://schemas.openxmlformats.org/drawingml/2006/main">
              <a:srgbClr val="7C3AED"/>
            </a:solidFill>
            <a:ln xmlns:a="http://schemas.openxmlformats.org/drawingml/2006/main" w="19050">
              <a:solidFill>
                <a:srgbClr val="7C3AED"/>
              </a:solidFill>
              <a:prstDash val="dash"/>
            </a:ln>
          </c:spPr>
          <c:marker>
            <c:symbol val="none"/>
          </c:marker>
          <c:cat>
            <c:strRef>
              <c:f>'IV Gap 15'!$A$7:$A$127</c:f>
              <c:strCache>
                <c:ptCount val="0"/>
              </c:strCache>
            </c:strRef>
          </c:cat>
          <c:val>
            <c:numRef>
              <c:f>'IV Gap 15'!$E$7:$E$127</c:f>
              <c:numCache>
                <c:formatCode>0.00E+00</c:formatCode>
                <c:ptCount val="0"/>
              </c:numCache>
            </c:numRef>
          </c:val>
          <c:smooth val="0"/>
        </c:ser>
        <c:ser>
          <c:idx val="4"/>
          <c:order val="4"/>
          <c:tx>
            <c:v>Row 5</c:v>
          </c:tx>
          <c:spPr>
            <a:solidFill xmlns:a="http://schemas.openxmlformats.org/drawingml/2006/main">
              <a:srgbClr val="D97706"/>
            </a:solidFill>
            <a:ln xmlns:a="http://schemas.openxmlformats.org/drawingml/2006/main" w="19050">
              <a:solidFill>
                <a:srgbClr val="D97706"/>
              </a:solidFill>
              <a:prstDash val="dash"/>
            </a:ln>
          </c:spPr>
          <c:marker>
            <c:symbol val="none"/>
          </c:marker>
          <c:cat>
            <c:strRef>
              <c:f>'IV Gap 15'!$A$7:$A$127</c:f>
              <c:strCache>
                <c:ptCount val="0"/>
              </c:strCache>
            </c:strRef>
          </c:cat>
          <c:val>
            <c:numRef>
              <c:f>'IV Gap 15'!$F$7:$F$127</c:f>
              <c:numCache>
                <c:formatCode>0.00E+00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Voltage (V)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J (A/cm^2)</a:t>
                </a:r>
              </a:p>
            </c:rich>
          </c:tx>
          <c:overlay val="0"/>
        </c:title>
        <c:numFmt formatCode="0.00E+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Gap 20 um: I-V comparison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Row 1</c:v>
          </c:tx>
          <c:spPr>
            <a:solidFill xmlns:a="http://schemas.openxmlformats.org/drawingml/2006/main">
              <a:srgbClr val="2563EB"/>
            </a:solidFill>
            <a:ln xmlns:a="http://schemas.openxmlformats.org/drawingml/2006/main" w="19050">
              <a:solidFill>
                <a:srgbClr val="2563EB"/>
              </a:solidFill>
              <a:prstDash val="solid"/>
            </a:ln>
          </c:spPr>
          <c:marker>
            <c:symbol val="none"/>
          </c:marker>
          <c:cat>
            <c:strRef>
              <c:f>'IV Gap 20'!$A$7:$A$127</c:f>
              <c:strCache>
                <c:ptCount val="0"/>
              </c:strCache>
            </c:strRef>
          </c:cat>
          <c:val>
            <c:numRef>
              <c:f>'IV Gap 20'!$B$7:$B$127</c:f>
              <c:numCache>
                <c:formatCode>0.00E+00</c:formatCode>
                <c:ptCount val="0"/>
              </c:numCache>
            </c:numRef>
          </c:val>
          <c:smooth val="0"/>
        </c:ser>
        <c:ser>
          <c:idx val="1"/>
          <c:order val="1"/>
          <c:tx>
            <c:v>Row 2</c:v>
          </c:tx>
          <c:spPr>
            <a:solidFill xmlns:a="http://schemas.openxmlformats.org/drawingml/2006/main">
              <a:srgbClr val="E11D48"/>
            </a:solidFill>
            <a:ln xmlns:a="http://schemas.openxmlformats.org/drawingml/2006/main" w="19050">
              <a:solidFill>
                <a:srgbClr val="E11D48"/>
              </a:solidFill>
              <a:prstDash val="dash"/>
            </a:ln>
          </c:spPr>
          <c:marker>
            <c:symbol val="none"/>
          </c:marker>
          <c:cat>
            <c:strRef>
              <c:f>'IV Gap 20'!$A$7:$A$127</c:f>
              <c:strCache>
                <c:ptCount val="0"/>
              </c:strCache>
            </c:strRef>
          </c:cat>
          <c:val>
            <c:numRef>
              <c:f>'IV Gap 20'!$C$7:$C$127</c:f>
              <c:numCache>
                <c:formatCode>0.00E+00</c:formatCode>
                <c:ptCount val="0"/>
              </c:numCache>
            </c:numRef>
          </c:val>
          <c:smooth val="0"/>
        </c:ser>
        <c:ser>
          <c:idx val="2"/>
          <c:order val="2"/>
          <c:tx>
            <c:v>Row 3</c:v>
          </c:tx>
          <c:spPr>
            <a:solidFill xmlns:a="http://schemas.openxmlformats.org/drawingml/2006/main">
              <a:srgbClr val="059669"/>
            </a:solidFill>
            <a:ln xmlns:a="http://schemas.openxmlformats.org/drawingml/2006/main" w="19050">
              <a:solidFill>
                <a:srgbClr val="059669"/>
              </a:solidFill>
              <a:prstDash val="dash"/>
            </a:ln>
          </c:spPr>
          <c:marker>
            <c:symbol val="none"/>
          </c:marker>
          <c:cat>
            <c:strRef>
              <c:f>'IV Gap 20'!$A$7:$A$127</c:f>
              <c:strCache>
                <c:ptCount val="0"/>
              </c:strCache>
            </c:strRef>
          </c:cat>
          <c:val>
            <c:numRef>
              <c:f>'IV Gap 20'!$D$7:$D$127</c:f>
              <c:numCache>
                <c:formatCode>0.00E+00</c:formatCode>
                <c:ptCount val="0"/>
              </c:numCache>
            </c:numRef>
          </c:val>
          <c:smooth val="0"/>
        </c:ser>
        <c:ser>
          <c:idx val="3"/>
          <c:order val="3"/>
          <c:tx>
            <c:v>Row 4</c:v>
          </c:tx>
          <c:spPr>
            <a:solidFill xmlns:a="http://schemas.openxmlformats.org/drawingml/2006/main">
              <a:srgbClr val="7C3AED"/>
            </a:solidFill>
            <a:ln xmlns:a="http://schemas.openxmlformats.org/drawingml/2006/main" w="19050">
              <a:solidFill>
                <a:srgbClr val="7C3AED"/>
              </a:solidFill>
              <a:prstDash val="dash"/>
            </a:ln>
          </c:spPr>
          <c:marker>
            <c:symbol val="none"/>
          </c:marker>
          <c:cat>
            <c:strRef>
              <c:f>'IV Gap 20'!$A$7:$A$127</c:f>
              <c:strCache>
                <c:ptCount val="0"/>
              </c:strCache>
            </c:strRef>
          </c:cat>
          <c:val>
            <c:numRef>
              <c:f>'IV Gap 20'!$E$7:$E$127</c:f>
              <c:numCache>
                <c:formatCode>0.00E+00</c:formatCode>
                <c:ptCount val="0"/>
              </c:numCache>
            </c:numRef>
          </c:val>
          <c:smooth val="0"/>
        </c:ser>
        <c:ser>
          <c:idx val="4"/>
          <c:order val="4"/>
          <c:tx>
            <c:v>Row 5</c:v>
          </c:tx>
          <c:spPr>
            <a:solidFill xmlns:a="http://schemas.openxmlformats.org/drawingml/2006/main">
              <a:srgbClr val="D97706"/>
            </a:solidFill>
            <a:ln xmlns:a="http://schemas.openxmlformats.org/drawingml/2006/main" w="19050">
              <a:solidFill>
                <a:srgbClr val="D97706"/>
              </a:solidFill>
              <a:prstDash val="dash"/>
            </a:ln>
          </c:spPr>
          <c:marker>
            <c:symbol val="none"/>
          </c:marker>
          <c:cat>
            <c:strRef>
              <c:f>'IV Gap 20'!$A$7:$A$127</c:f>
              <c:strCache>
                <c:ptCount val="0"/>
              </c:strCache>
            </c:strRef>
          </c:cat>
          <c:val>
            <c:numRef>
              <c:f>'IV Gap 20'!$F$7:$F$127</c:f>
              <c:numCache>
                <c:formatCode>0.00E+00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Voltage (V)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J (A/cm^2)</a:t>
                </a:r>
              </a:p>
            </c:rich>
          </c:tx>
          <c:overlay val="0"/>
        </c:title>
        <c:numFmt formatCode="0.00E+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Gap 25 um: I-V comparison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Row 1</c:v>
          </c:tx>
          <c:spPr>
            <a:solidFill xmlns:a="http://schemas.openxmlformats.org/drawingml/2006/main">
              <a:srgbClr val="2563EB"/>
            </a:solidFill>
            <a:ln xmlns:a="http://schemas.openxmlformats.org/drawingml/2006/main" w="19050">
              <a:solidFill>
                <a:srgbClr val="2563EB"/>
              </a:solidFill>
              <a:prstDash val="solid"/>
            </a:ln>
          </c:spPr>
          <c:marker>
            <c:symbol val="none"/>
          </c:marker>
          <c:cat>
            <c:strRef>
              <c:f>'IV Gap 25'!$A$7:$A$125</c:f>
              <c:strCache>
                <c:ptCount val="0"/>
              </c:strCache>
            </c:strRef>
          </c:cat>
          <c:val>
            <c:numRef>
              <c:f>'IV Gap 25'!$B$7:$B$125</c:f>
              <c:numCache>
                <c:formatCode>0.00E+00</c:formatCode>
                <c:ptCount val="0"/>
              </c:numCache>
            </c:numRef>
          </c:val>
          <c:smooth val="0"/>
        </c:ser>
        <c:ser>
          <c:idx val="1"/>
          <c:order val="1"/>
          <c:tx>
            <c:v>Row 2</c:v>
          </c:tx>
          <c:spPr>
            <a:solidFill xmlns:a="http://schemas.openxmlformats.org/drawingml/2006/main">
              <a:srgbClr val="E11D48"/>
            </a:solidFill>
            <a:ln xmlns:a="http://schemas.openxmlformats.org/drawingml/2006/main" w="19050">
              <a:solidFill>
                <a:srgbClr val="E11D48"/>
              </a:solidFill>
              <a:prstDash val="dash"/>
            </a:ln>
          </c:spPr>
          <c:marker>
            <c:symbol val="none"/>
          </c:marker>
          <c:cat>
            <c:strRef>
              <c:f>'IV Gap 25'!$A$7:$A$125</c:f>
              <c:strCache>
                <c:ptCount val="0"/>
              </c:strCache>
            </c:strRef>
          </c:cat>
          <c:val>
            <c:numRef>
              <c:f>'IV Gap 25'!$C$7:$C$125</c:f>
              <c:numCache>
                <c:formatCode>0.00E+00</c:formatCode>
                <c:ptCount val="0"/>
              </c:numCache>
            </c:numRef>
          </c:val>
          <c:smooth val="0"/>
        </c:ser>
        <c:ser>
          <c:idx val="2"/>
          <c:order val="2"/>
          <c:tx>
            <c:v>Row 3</c:v>
          </c:tx>
          <c:spPr>
            <a:solidFill xmlns:a="http://schemas.openxmlformats.org/drawingml/2006/main">
              <a:srgbClr val="059669"/>
            </a:solidFill>
            <a:ln xmlns:a="http://schemas.openxmlformats.org/drawingml/2006/main" w="19050">
              <a:solidFill>
                <a:srgbClr val="059669"/>
              </a:solidFill>
              <a:prstDash val="dash"/>
            </a:ln>
          </c:spPr>
          <c:marker>
            <c:symbol val="none"/>
          </c:marker>
          <c:cat>
            <c:strRef>
              <c:f>'IV Gap 25'!$A$7:$A$125</c:f>
              <c:strCache>
                <c:ptCount val="0"/>
              </c:strCache>
            </c:strRef>
          </c:cat>
          <c:val>
            <c:numRef>
              <c:f>'IV Gap 25'!$D$7:$D$125</c:f>
              <c:numCache>
                <c:formatCode>0.00E+00</c:formatCode>
                <c:ptCount val="0"/>
              </c:numCache>
            </c:numRef>
          </c:val>
          <c:smooth val="0"/>
        </c:ser>
        <c:ser>
          <c:idx val="3"/>
          <c:order val="3"/>
          <c:tx>
            <c:v>Row 4</c:v>
          </c:tx>
          <c:spPr>
            <a:solidFill xmlns:a="http://schemas.openxmlformats.org/drawingml/2006/main">
              <a:srgbClr val="7C3AED"/>
            </a:solidFill>
            <a:ln xmlns:a="http://schemas.openxmlformats.org/drawingml/2006/main" w="19050">
              <a:solidFill>
                <a:srgbClr val="7C3AED"/>
              </a:solidFill>
              <a:prstDash val="dash"/>
            </a:ln>
          </c:spPr>
          <c:marker>
            <c:symbol val="none"/>
          </c:marker>
          <c:cat>
            <c:strRef>
              <c:f>'IV Gap 25'!$A$7:$A$125</c:f>
              <c:strCache>
                <c:ptCount val="0"/>
              </c:strCache>
            </c:strRef>
          </c:cat>
          <c:val>
            <c:numRef>
              <c:f>'IV Gap 25'!$E$7:$E$125</c:f>
              <c:numCache>
                <c:formatCode>0.00E+00</c:formatCode>
                <c:ptCount val="0"/>
              </c:numCache>
            </c:numRef>
          </c:val>
          <c:smooth val="0"/>
        </c:ser>
        <c:ser>
          <c:idx val="4"/>
          <c:order val="4"/>
          <c:tx>
            <c:v>Row 5</c:v>
          </c:tx>
          <c:spPr>
            <a:solidFill xmlns:a="http://schemas.openxmlformats.org/drawingml/2006/main">
              <a:srgbClr val="D97706"/>
            </a:solidFill>
            <a:ln xmlns:a="http://schemas.openxmlformats.org/drawingml/2006/main" w="19050">
              <a:solidFill>
                <a:srgbClr val="D97706"/>
              </a:solidFill>
              <a:prstDash val="dash"/>
            </a:ln>
          </c:spPr>
          <c:marker>
            <c:symbol val="none"/>
          </c:marker>
          <c:cat>
            <c:strRef>
              <c:f>'IV Gap 25'!$A$7:$A$125</c:f>
              <c:strCache>
                <c:ptCount val="0"/>
              </c:strCache>
            </c:strRef>
          </c:cat>
          <c:val>
            <c:numRef>
              <c:f>'IV Gap 25'!$F$7:$F$125</c:f>
              <c:numCache>
                <c:formatCode>0.00E+00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Voltage (V)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J (A/cm^2)</a:t>
                </a:r>
              </a:p>
            </c:rich>
          </c:tx>
          <c:overlay val="0"/>
        </c:title>
        <c:numFmt formatCode="0.00E+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Gap 30 um: I-V comparison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Row 1</c:v>
          </c:tx>
          <c:spPr>
            <a:solidFill xmlns:a="http://schemas.openxmlformats.org/drawingml/2006/main">
              <a:srgbClr val="2563EB"/>
            </a:solidFill>
            <a:ln xmlns:a="http://schemas.openxmlformats.org/drawingml/2006/main" w="19050">
              <a:solidFill>
                <a:srgbClr val="2563EB"/>
              </a:solidFill>
              <a:prstDash val="solid"/>
            </a:ln>
          </c:spPr>
          <c:marker>
            <c:symbol val="none"/>
          </c:marker>
          <c:cat>
            <c:strRef>
              <c:f>'IV Gap 30'!$A$7:$A$127</c:f>
              <c:strCache>
                <c:ptCount val="0"/>
              </c:strCache>
            </c:strRef>
          </c:cat>
          <c:val>
            <c:numRef>
              <c:f>'IV Gap 30'!$B$7:$B$127</c:f>
              <c:numCache>
                <c:formatCode>0.00E+00</c:formatCode>
                <c:ptCount val="0"/>
              </c:numCache>
            </c:numRef>
          </c:val>
          <c:smooth val="0"/>
        </c:ser>
        <c:ser>
          <c:idx val="1"/>
          <c:order val="1"/>
          <c:tx>
            <c:v>Row 2</c:v>
          </c:tx>
          <c:spPr>
            <a:solidFill xmlns:a="http://schemas.openxmlformats.org/drawingml/2006/main">
              <a:srgbClr val="E11D48"/>
            </a:solidFill>
            <a:ln xmlns:a="http://schemas.openxmlformats.org/drawingml/2006/main" w="19050">
              <a:solidFill>
                <a:srgbClr val="E11D48"/>
              </a:solidFill>
              <a:prstDash val="dash"/>
            </a:ln>
          </c:spPr>
          <c:marker>
            <c:symbol val="none"/>
          </c:marker>
          <c:cat>
            <c:strRef>
              <c:f>'IV Gap 30'!$A$7:$A$127</c:f>
              <c:strCache>
                <c:ptCount val="0"/>
              </c:strCache>
            </c:strRef>
          </c:cat>
          <c:val>
            <c:numRef>
              <c:f>'IV Gap 30'!$C$7:$C$127</c:f>
              <c:numCache>
                <c:formatCode>0.00E+00</c:formatCode>
                <c:ptCount val="0"/>
              </c:numCache>
            </c:numRef>
          </c:val>
          <c:smooth val="0"/>
        </c:ser>
        <c:ser>
          <c:idx val="2"/>
          <c:order val="2"/>
          <c:tx>
            <c:v>Row 3</c:v>
          </c:tx>
          <c:spPr>
            <a:solidFill xmlns:a="http://schemas.openxmlformats.org/drawingml/2006/main">
              <a:srgbClr val="059669"/>
            </a:solidFill>
            <a:ln xmlns:a="http://schemas.openxmlformats.org/drawingml/2006/main" w="19050">
              <a:solidFill>
                <a:srgbClr val="059669"/>
              </a:solidFill>
              <a:prstDash val="dash"/>
            </a:ln>
          </c:spPr>
          <c:marker>
            <c:symbol val="none"/>
          </c:marker>
          <c:cat>
            <c:strRef>
              <c:f>'IV Gap 30'!$A$7:$A$127</c:f>
              <c:strCache>
                <c:ptCount val="0"/>
              </c:strCache>
            </c:strRef>
          </c:cat>
          <c:val>
            <c:numRef>
              <c:f>'IV Gap 30'!$D$7:$D$127</c:f>
              <c:numCache>
                <c:formatCode>0.00E+00</c:formatCode>
                <c:ptCount val="0"/>
              </c:numCache>
            </c:numRef>
          </c:val>
          <c:smooth val="0"/>
        </c:ser>
        <c:ser>
          <c:idx val="3"/>
          <c:order val="3"/>
          <c:tx>
            <c:v>Row 4</c:v>
          </c:tx>
          <c:spPr>
            <a:solidFill xmlns:a="http://schemas.openxmlformats.org/drawingml/2006/main">
              <a:srgbClr val="7C3AED"/>
            </a:solidFill>
            <a:ln xmlns:a="http://schemas.openxmlformats.org/drawingml/2006/main" w="19050">
              <a:solidFill>
                <a:srgbClr val="7C3AED"/>
              </a:solidFill>
              <a:prstDash val="dash"/>
            </a:ln>
          </c:spPr>
          <c:marker>
            <c:symbol val="none"/>
          </c:marker>
          <c:cat>
            <c:strRef>
              <c:f>'IV Gap 30'!$A$7:$A$127</c:f>
              <c:strCache>
                <c:ptCount val="0"/>
              </c:strCache>
            </c:strRef>
          </c:cat>
          <c:val>
            <c:numRef>
              <c:f>'IV Gap 30'!$E$7:$E$127</c:f>
              <c:numCache>
                <c:formatCode>0.00E+00</c:formatCode>
                <c:ptCount val="0"/>
              </c:numCache>
            </c:numRef>
          </c:val>
          <c:smooth val="0"/>
        </c:ser>
        <c:ser>
          <c:idx val="4"/>
          <c:order val="4"/>
          <c:tx>
            <c:v>Row 5</c:v>
          </c:tx>
          <c:spPr>
            <a:solidFill xmlns:a="http://schemas.openxmlformats.org/drawingml/2006/main">
              <a:srgbClr val="D97706"/>
            </a:solidFill>
            <a:ln xmlns:a="http://schemas.openxmlformats.org/drawingml/2006/main" w="19050">
              <a:solidFill>
                <a:srgbClr val="D97706"/>
              </a:solidFill>
              <a:prstDash val="dash"/>
            </a:ln>
          </c:spPr>
          <c:marker>
            <c:symbol val="none"/>
          </c:marker>
          <c:cat>
            <c:strRef>
              <c:f>'IV Gap 30'!$A$7:$A$127</c:f>
              <c:strCache>
                <c:ptCount val="0"/>
              </c:strCache>
            </c:strRef>
          </c:cat>
          <c:val>
            <c:numRef>
              <c:f>'IV Gap 30'!$F$7:$F$127</c:f>
              <c:numCache>
                <c:formatCode>0.00E+00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Voltage (V)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J (A/cm^2)</a:t>
                </a:r>
              </a:p>
            </c:rich>
          </c:tx>
          <c:overlay val="0"/>
        </c:title>
        <c:numFmt formatCode="0.00E+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Gap 35 um: I-V comparison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Row 1</c:v>
          </c:tx>
          <c:spPr>
            <a:solidFill xmlns:a="http://schemas.openxmlformats.org/drawingml/2006/main">
              <a:srgbClr val="2563EB"/>
            </a:solidFill>
            <a:ln xmlns:a="http://schemas.openxmlformats.org/drawingml/2006/main" w="19050">
              <a:solidFill>
                <a:srgbClr val="2563EB"/>
              </a:solidFill>
              <a:prstDash val="solid"/>
            </a:ln>
          </c:spPr>
          <c:marker>
            <c:symbol val="none"/>
          </c:marker>
          <c:cat>
            <c:strRef>
              <c:f>'IV Gap 35'!$A$7:$A$127</c:f>
              <c:strCache>
                <c:ptCount val="0"/>
              </c:strCache>
            </c:strRef>
          </c:cat>
          <c:val>
            <c:numRef>
              <c:f>'IV Gap 35'!$B$7:$B$127</c:f>
              <c:numCache>
                <c:formatCode>0.00E+00</c:formatCode>
                <c:ptCount val="0"/>
              </c:numCache>
            </c:numRef>
          </c:val>
          <c:smooth val="0"/>
        </c:ser>
        <c:ser>
          <c:idx val="1"/>
          <c:order val="1"/>
          <c:tx>
            <c:v>Row 2</c:v>
          </c:tx>
          <c:spPr>
            <a:solidFill xmlns:a="http://schemas.openxmlformats.org/drawingml/2006/main">
              <a:srgbClr val="E11D48"/>
            </a:solidFill>
            <a:ln xmlns:a="http://schemas.openxmlformats.org/drawingml/2006/main" w="19050">
              <a:solidFill>
                <a:srgbClr val="E11D48"/>
              </a:solidFill>
              <a:prstDash val="dash"/>
            </a:ln>
          </c:spPr>
          <c:marker>
            <c:symbol val="none"/>
          </c:marker>
          <c:cat>
            <c:strRef>
              <c:f>'IV Gap 35'!$A$7:$A$127</c:f>
              <c:strCache>
                <c:ptCount val="0"/>
              </c:strCache>
            </c:strRef>
          </c:cat>
          <c:val>
            <c:numRef>
              <c:f>'IV Gap 35'!$C$7:$C$127</c:f>
              <c:numCache>
                <c:formatCode>0.00E+00</c:formatCode>
                <c:ptCount val="0"/>
              </c:numCache>
            </c:numRef>
          </c:val>
          <c:smooth val="0"/>
        </c:ser>
        <c:ser>
          <c:idx val="2"/>
          <c:order val="2"/>
          <c:tx>
            <c:v>Row 3</c:v>
          </c:tx>
          <c:spPr>
            <a:solidFill xmlns:a="http://schemas.openxmlformats.org/drawingml/2006/main">
              <a:srgbClr val="059669"/>
            </a:solidFill>
            <a:ln xmlns:a="http://schemas.openxmlformats.org/drawingml/2006/main" w="19050">
              <a:solidFill>
                <a:srgbClr val="059669"/>
              </a:solidFill>
              <a:prstDash val="dash"/>
            </a:ln>
          </c:spPr>
          <c:marker>
            <c:symbol val="none"/>
          </c:marker>
          <c:cat>
            <c:strRef>
              <c:f>'IV Gap 35'!$A$7:$A$127</c:f>
              <c:strCache>
                <c:ptCount val="0"/>
              </c:strCache>
            </c:strRef>
          </c:cat>
          <c:val>
            <c:numRef>
              <c:f>'IV Gap 35'!$D$7:$D$127</c:f>
              <c:numCache>
                <c:formatCode>0.00E+00</c:formatCode>
                <c:ptCount val="0"/>
              </c:numCache>
            </c:numRef>
          </c:val>
          <c:smooth val="0"/>
        </c:ser>
        <c:ser>
          <c:idx val="3"/>
          <c:order val="3"/>
          <c:tx>
            <c:v>Row 4</c:v>
          </c:tx>
          <c:spPr>
            <a:solidFill xmlns:a="http://schemas.openxmlformats.org/drawingml/2006/main">
              <a:srgbClr val="7C3AED"/>
            </a:solidFill>
            <a:ln xmlns:a="http://schemas.openxmlformats.org/drawingml/2006/main" w="19050">
              <a:solidFill>
                <a:srgbClr val="7C3AED"/>
              </a:solidFill>
              <a:prstDash val="dash"/>
            </a:ln>
          </c:spPr>
          <c:marker>
            <c:symbol val="none"/>
          </c:marker>
          <c:cat>
            <c:strRef>
              <c:f>'IV Gap 35'!$A$7:$A$127</c:f>
              <c:strCache>
                <c:ptCount val="0"/>
              </c:strCache>
            </c:strRef>
          </c:cat>
          <c:val>
            <c:numRef>
              <c:f>'IV Gap 35'!$E$7:$E$127</c:f>
              <c:numCache>
                <c:formatCode>0.00E+00</c:formatCode>
                <c:ptCount val="0"/>
              </c:numCache>
            </c:numRef>
          </c:val>
          <c:smooth val="0"/>
        </c:ser>
        <c:ser>
          <c:idx val="4"/>
          <c:order val="4"/>
          <c:tx>
            <c:v>Row 5</c:v>
          </c:tx>
          <c:spPr>
            <a:solidFill xmlns:a="http://schemas.openxmlformats.org/drawingml/2006/main">
              <a:srgbClr val="D97706"/>
            </a:solidFill>
            <a:ln xmlns:a="http://schemas.openxmlformats.org/drawingml/2006/main" w="19050">
              <a:solidFill>
                <a:srgbClr val="D97706"/>
              </a:solidFill>
              <a:prstDash val="dash"/>
            </a:ln>
          </c:spPr>
          <c:marker>
            <c:symbol val="none"/>
          </c:marker>
          <c:cat>
            <c:strRef>
              <c:f>'IV Gap 35'!$A$7:$A$127</c:f>
              <c:strCache>
                <c:ptCount val="0"/>
              </c:strCache>
            </c:strRef>
          </c:cat>
          <c:val>
            <c:numRef>
              <c:f>'IV Gap 35'!$F$7:$F$127</c:f>
              <c:numCache>
                <c:formatCode>0.00E+00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Voltage (V)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J (A/cm^2)</a:t>
                </a:r>
              </a:p>
            </c:rich>
          </c:tx>
          <c:overlay val="0"/>
        </c:title>
        <c:numFmt formatCode="0.00E+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C-V comparison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1.csv</c:v>
          </c:tx>
          <c:spPr>
            <a:solidFill xmlns:a="http://schemas.openxmlformats.org/drawingml/2006/main">
              <a:srgbClr val="2563EB"/>
            </a:solidFill>
            <a:ln xmlns:a="http://schemas.openxmlformats.org/drawingml/2006/main" w="19050">
              <a:solidFill>
                <a:srgbClr val="2563EB"/>
              </a:solidFill>
              <a:prstDash val="solid"/>
            </a:ln>
          </c:spPr>
          <c:marker>
            <c:symbol val="none"/>
          </c:marker>
          <c:cat>
            <c:strRef>
              <c:f>'CV Curves'!$A$7:$A$70</c:f>
              <c:strCache>
                <c:ptCount val="0"/>
              </c:strCache>
            </c:strRef>
          </c:cat>
          <c:val>
            <c:numRef>
              <c:f>'CV Curves'!$B$7:$B$70</c:f>
              <c:numCache>
                <c:formatCode>0.00E+00</c:formatCode>
                <c:ptCount val="0"/>
              </c:numCache>
            </c:numRef>
          </c:val>
          <c:smooth val="0"/>
        </c:ser>
        <c:ser>
          <c:idx val="1"/>
          <c:order val="1"/>
          <c:tx>
            <c:v>2.csv</c:v>
          </c:tx>
          <c:spPr>
            <a:solidFill xmlns:a="http://schemas.openxmlformats.org/drawingml/2006/main">
              <a:srgbClr val="E11D48"/>
            </a:solidFill>
            <a:ln xmlns:a="http://schemas.openxmlformats.org/drawingml/2006/main" w="19050">
              <a:solidFill>
                <a:srgbClr val="E11D48"/>
              </a:solidFill>
              <a:prstDash val="dash"/>
            </a:ln>
          </c:spPr>
          <c:marker>
            <c:symbol val="none"/>
          </c:marker>
          <c:cat>
            <c:strRef>
              <c:f>'CV Curves'!$A$7:$A$70</c:f>
              <c:strCache>
                <c:ptCount val="0"/>
              </c:strCache>
            </c:strRef>
          </c:cat>
          <c:val>
            <c:numRef>
              <c:f>'CV Curves'!$C$7:$C$70</c:f>
              <c:numCache>
                <c:formatCode>0.00E+00</c:formatCode>
                <c:ptCount val="0"/>
              </c:numCache>
            </c:numRef>
          </c:val>
          <c:smooth val="0"/>
        </c:ser>
        <c:ser>
          <c:idx val="2"/>
          <c:order val="2"/>
          <c:tx>
            <c:v>3.csv</c:v>
          </c:tx>
          <c:spPr>
            <a:solidFill xmlns:a="http://schemas.openxmlformats.org/drawingml/2006/main">
              <a:srgbClr val="059669"/>
            </a:solidFill>
            <a:ln xmlns:a="http://schemas.openxmlformats.org/drawingml/2006/main" w="19050">
              <a:solidFill>
                <a:srgbClr val="059669"/>
              </a:solidFill>
              <a:prstDash val="dash"/>
            </a:ln>
          </c:spPr>
          <c:marker>
            <c:symbol val="none"/>
          </c:marker>
          <c:cat>
            <c:strRef>
              <c:f>'CV Curves'!$A$7:$A$70</c:f>
              <c:strCache>
                <c:ptCount val="0"/>
              </c:strCache>
            </c:strRef>
          </c:cat>
          <c:val>
            <c:numRef>
              <c:f>'CV Curves'!$D$7:$D$70</c:f>
              <c:numCache>
                <c:formatCode>0.00E+00</c:formatCode>
                <c:ptCount val="0"/>
              </c:numCache>
            </c:numRef>
          </c:val>
          <c:smooth val="0"/>
        </c:ser>
        <c:ser>
          <c:idx val="3"/>
          <c:order val="3"/>
          <c:tx>
            <c:v>4.csv</c:v>
          </c:tx>
          <c:spPr>
            <a:solidFill xmlns:a="http://schemas.openxmlformats.org/drawingml/2006/main">
              <a:srgbClr val="7C3AED"/>
            </a:solidFill>
            <a:ln xmlns:a="http://schemas.openxmlformats.org/drawingml/2006/main" w="19050">
              <a:solidFill>
                <a:srgbClr val="7C3AED"/>
              </a:solidFill>
              <a:prstDash val="dash"/>
            </a:ln>
          </c:spPr>
          <c:marker>
            <c:symbol val="none"/>
          </c:marker>
          <c:cat>
            <c:strRef>
              <c:f>'CV Curves'!$A$7:$A$70</c:f>
              <c:strCache>
                <c:ptCount val="0"/>
              </c:strCache>
            </c:strRef>
          </c:cat>
          <c:val>
            <c:numRef>
              <c:f>'CV Curves'!$E$7:$E$70</c:f>
              <c:numCache>
                <c:formatCode>0.00E+00</c:formatCode>
                <c:ptCount val="0"/>
              </c:numCache>
            </c:numRef>
          </c:val>
          <c:smooth val="0"/>
        </c:ser>
        <c:ser>
          <c:idx val="4"/>
          <c:order val="4"/>
          <c:tx>
            <c:v>5.csv</c:v>
          </c:tx>
          <c:spPr>
            <a:solidFill xmlns:a="http://schemas.openxmlformats.org/drawingml/2006/main">
              <a:srgbClr val="D97706"/>
            </a:solidFill>
            <a:ln xmlns:a="http://schemas.openxmlformats.org/drawingml/2006/main" w="19050">
              <a:solidFill>
                <a:srgbClr val="D97706"/>
              </a:solidFill>
              <a:prstDash val="dash"/>
            </a:ln>
          </c:spPr>
          <c:marker>
            <c:symbol val="none"/>
          </c:marker>
          <c:cat>
            <c:strRef>
              <c:f>'CV Curves'!$A$7:$A$70</c:f>
              <c:strCache>
                <c:ptCount val="0"/>
              </c:strCache>
            </c:strRef>
          </c:cat>
          <c:val>
            <c:numRef>
              <c:f>'CV Curves'!$F$7:$F$70</c:f>
              <c:numCache>
                <c:formatCode>0.00E+00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Bias voltage (V)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Capacitance (pF)</a:t>
                </a:r>
              </a:p>
            </c:rich>
          </c:tx>
          <c:overlay val="0"/>
        </c:title>
        <c:numFmt formatCode="0.00E+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1.csv: Vbi=0.716 V, R2=0.99361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Measured 1/C^2 (1e22 F^-2)</c:v>
          </c:tx>
          <c:spPr>
            <a:solidFill xmlns:a="http://schemas.openxmlformats.org/drawingml/2006/main">
              <a:srgbClr val="2563EB"/>
            </a:solidFill>
            <a:ln xmlns:a="http://schemas.openxmlformats.org/drawingml/2006/main" w="19050">
              <a:solidFill>
                <a:srgbClr val="2563EB"/>
              </a:solidFill>
              <a:prstDash val="solid"/>
            </a:ln>
          </c:spPr>
          <c:marker>
            <c:symbol val="none"/>
          </c:marker>
          <c:cat>
            <c:strRef>
              <c:f>'CV Fits'!$A$7:$A$38</c:f>
              <c:strCache>
                <c:ptCount val="0"/>
              </c:strCache>
            </c:strRef>
          </c:cat>
          <c:val>
            <c:numRef>
              <c:f>'CV Fits'!$B$7:$B$38</c:f>
              <c:numCache>
                <c:formatCode>0.00E+00</c:formatCode>
                <c:ptCount val="0"/>
              </c:numCache>
            </c:numRef>
          </c:val>
          <c:smooth val="0"/>
        </c:ser>
        <c:ser>
          <c:idx val="1"/>
          <c:order val="1"/>
          <c:tx>
            <c:v>Linear fit 1/C^2 (1e22 F^-2)</c:v>
          </c:tx>
          <c:spPr>
            <a:solidFill xmlns:a="http://schemas.openxmlformats.org/drawingml/2006/main">
              <a:srgbClr val="6B7280"/>
            </a:solidFill>
            <a:ln xmlns:a="http://schemas.openxmlformats.org/drawingml/2006/main" w="19050">
              <a:solidFill>
                <a:srgbClr val="6B7280"/>
              </a:solidFill>
              <a:prstDash val="dash"/>
            </a:ln>
          </c:spPr>
          <c:marker>
            <c:symbol val="none"/>
          </c:marker>
          <c:cat>
            <c:strRef>
              <c:f>'CV Fits'!$A$7:$A$38</c:f>
              <c:strCache>
                <c:ptCount val="0"/>
              </c:strCache>
            </c:strRef>
          </c:cat>
          <c:val>
            <c:numRef>
              <c:f>'CV Fits'!$C$7:$C$38</c:f>
              <c:numCache>
                <c:formatCode>0.00E+00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Bias voltage (V)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1/C^2 (1e22 F^-2)</a:t>
                </a:r>
              </a:p>
            </c:rich>
          </c:tx>
          <c:overlay val="0"/>
        </c:title>
        <c:numFmt formatCode="0.00E+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2.csv: Vbi=0.700 V, R2=0.99952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Measured 1/C^2 (1e22 F^-2)</c:v>
          </c:tx>
          <c:spPr>
            <a:solidFill xmlns:a="http://schemas.openxmlformats.org/drawingml/2006/main">
              <a:srgbClr val="E11D48"/>
            </a:solidFill>
            <a:ln xmlns:a="http://schemas.openxmlformats.org/drawingml/2006/main" w="19050">
              <a:solidFill>
                <a:srgbClr val="E11D48"/>
              </a:solidFill>
              <a:prstDash val="solid"/>
            </a:ln>
          </c:spPr>
          <c:marker>
            <c:symbol val="none"/>
          </c:marker>
          <c:cat>
            <c:strRef>
              <c:f>'CV Fits'!$A$39:$A$67</c:f>
              <c:strCache>
                <c:ptCount val="0"/>
              </c:strCache>
            </c:strRef>
          </c:cat>
          <c:val>
            <c:numRef>
              <c:f>'CV Fits'!$B$39:$B$67</c:f>
              <c:numCache>
                <c:formatCode>0.00E+00</c:formatCode>
                <c:ptCount val="0"/>
              </c:numCache>
            </c:numRef>
          </c:val>
          <c:smooth val="0"/>
        </c:ser>
        <c:ser>
          <c:idx val="1"/>
          <c:order val="1"/>
          <c:tx>
            <c:v>Linear fit 1/C^2 (1e22 F^-2)</c:v>
          </c:tx>
          <c:spPr>
            <a:solidFill xmlns:a="http://schemas.openxmlformats.org/drawingml/2006/main">
              <a:srgbClr val="6B7280"/>
            </a:solidFill>
            <a:ln xmlns:a="http://schemas.openxmlformats.org/drawingml/2006/main" w="19050">
              <a:solidFill>
                <a:srgbClr val="6B7280"/>
              </a:solidFill>
              <a:prstDash val="dash"/>
            </a:ln>
          </c:spPr>
          <c:marker>
            <c:symbol val="none"/>
          </c:marker>
          <c:cat>
            <c:strRef>
              <c:f>'CV Fits'!$A$39:$A$67</c:f>
              <c:strCache>
                <c:ptCount val="0"/>
              </c:strCache>
            </c:strRef>
          </c:cat>
          <c:val>
            <c:numRef>
              <c:f>'CV Fits'!$C$39:$C$67</c:f>
              <c:numCache>
                <c:formatCode>0.00E+00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Bias voltage (V)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1/C^2 (1e22 F^-2)</a:t>
                </a:r>
              </a:p>
            </c:rich>
          </c:tx>
          <c:overlay val="0"/>
        </c:title>
        <c:numFmt formatCode="0.00E+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3.csv: Vbi=0.701 V, R2=0.99942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Measured 1/C^2 (1e22 F^-2)</c:v>
          </c:tx>
          <c:spPr>
            <a:solidFill xmlns:a="http://schemas.openxmlformats.org/drawingml/2006/main">
              <a:srgbClr val="059669"/>
            </a:solidFill>
            <a:ln xmlns:a="http://schemas.openxmlformats.org/drawingml/2006/main" w="19050">
              <a:solidFill>
                <a:srgbClr val="059669"/>
              </a:solidFill>
              <a:prstDash val="solid"/>
            </a:ln>
          </c:spPr>
          <c:marker>
            <c:symbol val="none"/>
          </c:marker>
          <c:cat>
            <c:strRef>
              <c:f>'CV Fits'!$A$71:$A$102</c:f>
              <c:strCache>
                <c:ptCount val="0"/>
              </c:strCache>
            </c:strRef>
          </c:cat>
          <c:val>
            <c:numRef>
              <c:f>'CV Fits'!$B$71:$B$102</c:f>
              <c:numCache>
                <c:formatCode>0.00E+00</c:formatCode>
                <c:ptCount val="0"/>
              </c:numCache>
            </c:numRef>
          </c:val>
          <c:smooth val="0"/>
        </c:ser>
        <c:ser>
          <c:idx val="1"/>
          <c:order val="1"/>
          <c:tx>
            <c:v>Linear fit 1/C^2 (1e22 F^-2)</c:v>
          </c:tx>
          <c:spPr>
            <a:solidFill xmlns:a="http://schemas.openxmlformats.org/drawingml/2006/main">
              <a:srgbClr val="6B7280"/>
            </a:solidFill>
            <a:ln xmlns:a="http://schemas.openxmlformats.org/drawingml/2006/main" w="19050">
              <a:solidFill>
                <a:srgbClr val="6B7280"/>
              </a:solidFill>
              <a:prstDash val="dash"/>
            </a:ln>
          </c:spPr>
          <c:marker>
            <c:symbol val="none"/>
          </c:marker>
          <c:cat>
            <c:strRef>
              <c:f>'CV Fits'!$A$71:$A$102</c:f>
              <c:strCache>
                <c:ptCount val="0"/>
              </c:strCache>
            </c:strRef>
          </c:cat>
          <c:val>
            <c:numRef>
              <c:f>'CV Fits'!$C$71:$C$102</c:f>
              <c:numCache>
                <c:formatCode>0.00E+00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Bias voltage (V)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1/C^2 (1e22 F^-2)</a:t>
                </a:r>
              </a:p>
            </c:rich>
          </c:tx>
          <c:overlay val="0"/>
        </c:title>
        <c:numFmt formatCode="0.00E+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4.csv: Vbi=0.756 V, R2=0.99207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Measured 1/C^2 (1e22 F^-2)</c:v>
          </c:tx>
          <c:spPr>
            <a:solidFill xmlns:a="http://schemas.openxmlformats.org/drawingml/2006/main">
              <a:srgbClr val="7C3AED"/>
            </a:solidFill>
            <a:ln xmlns:a="http://schemas.openxmlformats.org/drawingml/2006/main" w="19050">
              <a:solidFill>
                <a:srgbClr val="7C3AED"/>
              </a:solidFill>
              <a:prstDash val="solid"/>
            </a:ln>
          </c:spPr>
          <c:marker>
            <c:symbol val="none"/>
          </c:marker>
          <c:cat>
            <c:strRef>
              <c:f>'CV Fits'!$A$103:$A$130</c:f>
              <c:strCache>
                <c:ptCount val="0"/>
              </c:strCache>
            </c:strRef>
          </c:cat>
          <c:val>
            <c:numRef>
              <c:f>'CV Fits'!$B$103:$B$130</c:f>
              <c:numCache>
                <c:formatCode>0.00E+00</c:formatCode>
                <c:ptCount val="0"/>
              </c:numCache>
            </c:numRef>
          </c:val>
          <c:smooth val="0"/>
        </c:ser>
        <c:ser>
          <c:idx val="1"/>
          <c:order val="1"/>
          <c:tx>
            <c:v>Linear fit 1/C^2 (1e22 F^-2)</c:v>
          </c:tx>
          <c:spPr>
            <a:solidFill xmlns:a="http://schemas.openxmlformats.org/drawingml/2006/main">
              <a:srgbClr val="6B7280"/>
            </a:solidFill>
            <a:ln xmlns:a="http://schemas.openxmlformats.org/drawingml/2006/main" w="19050">
              <a:solidFill>
                <a:srgbClr val="6B7280"/>
              </a:solidFill>
              <a:prstDash val="dash"/>
            </a:ln>
          </c:spPr>
          <c:marker>
            <c:symbol val="none"/>
          </c:marker>
          <c:cat>
            <c:strRef>
              <c:f>'CV Fits'!$A$103:$A$130</c:f>
              <c:strCache>
                <c:ptCount val="0"/>
              </c:strCache>
            </c:strRef>
          </c:cat>
          <c:val>
            <c:numRef>
              <c:f>'CV Fits'!$C$103:$C$130</c:f>
              <c:numCache>
                <c:formatCode>0.00E+00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Bias voltage (V)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1/C^2 (1e22 F^-2)</a:t>
                </a:r>
              </a:p>
            </c:rich>
          </c:tx>
          <c:overlay val="0"/>
        </c:title>
        <c:numFmt formatCode="0.00E+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5.csv: Vbi=0.723 V, R2=0.99927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Measured 1/C^2 (1e22 F^-2)</c:v>
          </c:tx>
          <c:spPr>
            <a:solidFill xmlns:a="http://schemas.openxmlformats.org/drawingml/2006/main">
              <a:srgbClr val="D97706"/>
            </a:solidFill>
            <a:ln xmlns:a="http://schemas.openxmlformats.org/drawingml/2006/main" w="19050">
              <a:solidFill>
                <a:srgbClr val="D97706"/>
              </a:solidFill>
              <a:prstDash val="solid"/>
            </a:ln>
          </c:spPr>
          <c:marker>
            <c:symbol val="none"/>
          </c:marker>
          <c:cat>
            <c:strRef>
              <c:f>'CV Fits'!$A$135:$A$163</c:f>
              <c:strCache>
                <c:ptCount val="0"/>
              </c:strCache>
            </c:strRef>
          </c:cat>
          <c:val>
            <c:numRef>
              <c:f>'CV Fits'!$B$135:$B$163</c:f>
              <c:numCache>
                <c:formatCode>0.00E+00</c:formatCode>
                <c:ptCount val="0"/>
              </c:numCache>
            </c:numRef>
          </c:val>
          <c:smooth val="0"/>
        </c:ser>
        <c:ser>
          <c:idx val="1"/>
          <c:order val="1"/>
          <c:tx>
            <c:v>Linear fit 1/C^2 (1e22 F^-2)</c:v>
          </c:tx>
          <c:spPr>
            <a:solidFill xmlns:a="http://schemas.openxmlformats.org/drawingml/2006/main">
              <a:srgbClr val="6B7280"/>
            </a:solidFill>
            <a:ln xmlns:a="http://schemas.openxmlformats.org/drawingml/2006/main" w="19050">
              <a:solidFill>
                <a:srgbClr val="6B7280"/>
              </a:solidFill>
              <a:prstDash val="dash"/>
            </a:ln>
          </c:spPr>
          <c:marker>
            <c:symbol val="none"/>
          </c:marker>
          <c:cat>
            <c:strRef>
              <c:f>'CV Fits'!$A$135:$A$163</c:f>
              <c:strCache>
                <c:ptCount val="0"/>
              </c:strCache>
            </c:strRef>
          </c:cat>
          <c:val>
            <c:numRef>
              <c:f>'CV Fits'!$C$135:$C$163</c:f>
              <c:numCache>
                <c:formatCode>0.00E+00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Bias voltage (V)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1/C^2 (1e22 F^-2)</a:t>
                </a:r>
              </a:p>
            </c:rich>
          </c:tx>
          <c:overlay val="0"/>
        </c:title>
        <c:numFmt formatCode="0.00E+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Built-in potential and barrier height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Vbi</c:v>
          </c:tx>
          <c:spPr>
            <a:solidFill xmlns:a="http://schemas.openxmlformats.org/drawingml/2006/main">
              <a:srgbClr val="2563EB"/>
            </a:solidFill>
            <a:ln xmlns:a="http://schemas.openxmlformats.org/drawingml/2006/main" w="19050">
              <a:solidFill>
                <a:srgbClr val="2563EB"/>
              </a:solidFill>
              <a:prstDash val="solid"/>
            </a:ln>
          </c:spPr>
          <c:marker>
            <c:symbol val="none"/>
          </c:marker>
          <c:cat>
            <c:strRef>
              <c:f>'CV Parameters'!$R$6:$R$10</c:f>
              <c:strCache>
                <c:ptCount val="0"/>
              </c:strCache>
            </c:strRef>
          </c:cat>
          <c:val>
            <c:numRef>
              <c:f>'CV Parameters'!$S$6:$S$10</c:f>
              <c:numCache>
                <c:formatCode>0.00E+00</c:formatCode>
                <c:ptCount val="0"/>
              </c:numCache>
            </c:numRef>
          </c:val>
          <c:smooth val="0"/>
        </c:ser>
        <c:ser>
          <c:idx val="1"/>
          <c:order val="1"/>
          <c:tx>
            <c:v>phi_B</c:v>
          </c:tx>
          <c:spPr>
            <a:solidFill xmlns:a="http://schemas.openxmlformats.org/drawingml/2006/main">
              <a:srgbClr val="E11D48"/>
            </a:solidFill>
            <a:ln xmlns:a="http://schemas.openxmlformats.org/drawingml/2006/main" w="19050">
              <a:solidFill>
                <a:srgbClr val="E11D48"/>
              </a:solidFill>
              <a:prstDash val="dash"/>
            </a:ln>
          </c:spPr>
          <c:marker>
            <c:symbol val="none"/>
          </c:marker>
          <c:cat>
            <c:strRef>
              <c:f>'CV Parameters'!$R$6:$R$10</c:f>
              <c:strCache>
                <c:ptCount val="0"/>
              </c:strCache>
            </c:strRef>
          </c:cat>
          <c:val>
            <c:numRef>
              <c:f>'CV Parameters'!$T$6:$T$10</c:f>
              <c:numCache>
                <c:formatCode>0.00E+00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Measurement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Potential (V or eV)</a:t>
                </a:r>
              </a:p>
            </c:rich>
          </c:tx>
          <c:overlay val="0"/>
        </c:title>
        <c:numFmt formatCode="0.00E+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Donor concentration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ND (1e15 cm^-3)</c:v>
          </c:tx>
          <c:spPr>
            <a:solidFill xmlns:a="http://schemas.openxmlformats.org/drawingml/2006/main">
              <a:srgbClr val="059669"/>
            </a:solidFill>
            <a:ln xmlns:a="http://schemas.openxmlformats.org/drawingml/2006/main" w="19050">
              <a:solidFill>
                <a:srgbClr val="059669"/>
              </a:solidFill>
              <a:prstDash val="solid"/>
            </a:ln>
          </c:spPr>
          <c:marker>
            <c:symbol val="none"/>
          </c:marker>
          <c:cat>
            <c:strRef>
              <c:f>'CV Parameters'!$R$6:$R$10</c:f>
              <c:strCache>
                <c:ptCount val="0"/>
              </c:strCache>
            </c:strRef>
          </c:cat>
          <c:val>
            <c:numRef>
              <c:f>'CV Parameters'!$U$6:$U$10</c:f>
              <c:numCache>
                <c:formatCode>0.00E+00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Measurement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ND (1e15 cm^-3)</a:t>
                </a:r>
              </a:p>
            </c:rich>
          </c:tx>
          <c:overlay val="0"/>
        </c:title>
        <c:numFmt formatCode="0.00E+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5</xdr:row>
      <xdr:rowOff>0</xdr:rowOff>
    </xdr:from>
    <xdr:to>
      <xdr:col>16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7552a94286d4d6a"/>
        </a:graphicData>
      </a:graphic>
    </xdr:graphicFrame>
    <xdr:clientData/>
  </xdr:twoCellAnchor>
  <xdr:twoCellAnchor>
    <xdr:from>
      <xdr:col>6</xdr:col>
      <xdr:colOff>0</xdr:colOff>
      <xdr:row>28</xdr:row>
      <xdr:rowOff>0</xdr:rowOff>
    </xdr:from>
    <xdr:to>
      <xdr:col>16</xdr:col>
      <xdr:colOff>0</xdr:colOff>
      <xdr:row>50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bf8eb74487344a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5</xdr:row>
      <xdr:rowOff>0</xdr:rowOff>
    </xdr:from>
    <xdr:to>
      <xdr:col>17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c8a3cb9d1b740db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7</xdr:col>
      <xdr:colOff>0</xdr:colOff>
      <xdr:row>5</xdr:row>
      <xdr:rowOff>0</xdr:rowOff>
    </xdr:from>
    <xdr:to>
      <xdr:col>17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360636331b94ee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7</xdr:col>
      <xdr:colOff>0</xdr:colOff>
      <xdr:row>5</xdr:row>
      <xdr:rowOff>0</xdr:rowOff>
    </xdr:from>
    <xdr:to>
      <xdr:col>17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7b10d1916b1430e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7</xdr:col>
      <xdr:colOff>0</xdr:colOff>
      <xdr:row>5</xdr:row>
      <xdr:rowOff>0</xdr:rowOff>
    </xdr:from>
    <xdr:to>
      <xdr:col>17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f6a575bb9cc4a0c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7</xdr:col>
      <xdr:colOff>0</xdr:colOff>
      <xdr:row>5</xdr:row>
      <xdr:rowOff>0</xdr:rowOff>
    </xdr:from>
    <xdr:to>
      <xdr:col>17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c87b3a5b0f640e0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>
  <xdr:twoCellAnchor>
    <xdr:from>
      <xdr:col>7</xdr:col>
      <xdr:colOff>0</xdr:colOff>
      <xdr:row>5</xdr:row>
      <xdr:rowOff>0</xdr:rowOff>
    </xdr:from>
    <xdr:to>
      <xdr:col>17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971b36c1cde471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>
  <xdr:twoCellAnchor>
    <xdr:from>
      <xdr:col>7</xdr:col>
      <xdr:colOff>0</xdr:colOff>
      <xdr:row>5</xdr:row>
      <xdr:rowOff>0</xdr:rowOff>
    </xdr:from>
    <xdr:to>
      <xdr:col>17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1bbd101edd24a3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>
  <xdr:twoCellAnchor>
    <xdr:from>
      <xdr:col>6</xdr:col>
      <xdr:colOff>0</xdr:colOff>
      <xdr:row>5</xdr:row>
      <xdr:rowOff>0</xdr:rowOff>
    </xdr:from>
    <xdr:to>
      <xdr:col>16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657b8e8dd094744"/>
        </a:graphicData>
      </a:graphic>
    </xdr:graphicFrame>
    <xdr:clientData/>
  </xdr:twoCellAnchor>
  <xdr:twoCellAnchor>
    <xdr:from>
      <xdr:col>6</xdr:col>
      <xdr:colOff>0</xdr:colOff>
      <xdr:row>37</xdr:row>
      <xdr:rowOff>0</xdr:rowOff>
    </xdr:from>
    <xdr:to>
      <xdr:col>16</xdr:col>
      <xdr:colOff>0</xdr:colOff>
      <xdr:row>60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8aa7e5e614c4a81"/>
        </a:graphicData>
      </a:graphic>
    </xdr:graphicFrame>
    <xdr:clientData/>
  </xdr:twoCellAnchor>
  <xdr:twoCellAnchor>
    <xdr:from>
      <xdr:col>6</xdr:col>
      <xdr:colOff>0</xdr:colOff>
      <xdr:row>69</xdr:row>
      <xdr:rowOff>0</xdr:rowOff>
    </xdr:from>
    <xdr:to>
      <xdr:col>16</xdr:col>
      <xdr:colOff>0</xdr:colOff>
      <xdr:row>92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0cb623cc0ae4944"/>
        </a:graphicData>
      </a:graphic>
    </xdr:graphicFrame>
    <xdr:clientData/>
  </xdr:twoCellAnchor>
  <xdr:twoCellAnchor>
    <xdr:from>
      <xdr:col>6</xdr:col>
      <xdr:colOff>0</xdr:colOff>
      <xdr:row>101</xdr:row>
      <xdr:rowOff>0</xdr:rowOff>
    </xdr:from>
    <xdr:to>
      <xdr:col>16</xdr:col>
      <xdr:colOff>0</xdr:colOff>
      <xdr:row>124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b9b597ca2b0410d"/>
        </a:graphicData>
      </a:graphic>
    </xdr:graphicFrame>
    <xdr:clientData/>
  </xdr:twoCellAnchor>
  <xdr:twoCellAnchor>
    <xdr:from>
      <xdr:col>6</xdr:col>
      <xdr:colOff>0</xdr:colOff>
      <xdr:row>133</xdr:row>
      <xdr:rowOff>0</xdr:rowOff>
    </xdr:from>
    <xdr:to>
      <xdr:col>16</xdr:col>
      <xdr:colOff>0</xdr:colOff>
      <xdr:row>156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5937a0776c74b95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>
  <xdr:twoCellAnchor>
    <xdr:from>
      <xdr:col>17</xdr:col>
      <xdr:colOff>0</xdr:colOff>
      <xdr:row>12</xdr:row>
      <xdr:rowOff>0</xdr:rowOff>
    </xdr:from>
    <xdr:to>
      <xdr:col>26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5fb87c3e786411b"/>
        </a:graphicData>
      </a:graphic>
    </xdr:graphicFrame>
    <xdr:clientData/>
  </xdr:twoCellAnchor>
  <xdr:twoCellAnchor>
    <xdr:from>
      <xdr:col>17</xdr:col>
      <xdr:colOff>0</xdr:colOff>
      <xdr:row>31</xdr:row>
      <xdr:rowOff>0</xdr:rowOff>
    </xdr:from>
    <xdr:to>
      <xdr:col>26</xdr:col>
      <xdr:colOff>0</xdr:colOff>
      <xdr:row>49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296a72795f04fe4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aacfb224649a425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b923c8f486a14bb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3.xml" Id="Re3e945e51fac4a5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4.xml" Id="R431239eb6984422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5.xml" Id="R969e14feb0754b9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6.xml" Id="R5e52005a39b04a2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7.xml" Id="R5e5d3baf50d3461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8.xml" Id="R84db92a4629d415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9.xml" Id="R4f40ae0988d34f9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0.xml" Id="Rce12e8aea5fe472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4" max="4" width="20" hidden="0" customWidth="1"/>
    <x:col min="5" max="5" width="90" hidden="0" customWidth="1"/>
  </x:cols>
  <x:sheetData>
    <x:row r="1" ht="15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19.200000762939453" hidden="0" customHeight="1">
      <x:c r="A2" s="2" t="str">
        <x:v>W5 Pt/n-Si Schottky analysis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15" hidden="0" customHeight="1">
      <x:c r="A3" s="3" t="str">
        <x:v>I-V limited to the common -1 V to +1 V window; C-V extraction follows the course handout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15" hidden="0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</x:row>
    <x:row r="5" ht="15" hidden="0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15" hidden="0" customHeight="1">
      <x:c r="A6" s="9" t="str">
        <x:v>Main result</x:v>
      </x:c>
      <x:c r="B6" s="9" t="str">
        <x:v>Value</x:v>
      </x:c>
      <x:c r="C6" s="1"/>
      <x:c r="D6" s="9" t="str">
        <x:v>Interpretation</x:v>
      </x:c>
      <x:c r="E6" s="9" t="str">
        <x:v>Conclusion</x:v>
      </x:c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15" hidden="0" customHeight="1">
      <x:c r="A7" s="1" t="str">
        <x:v>Best Schottky-like I-V</x:v>
      </x:c>
      <x:c r="B7" s="1" t="str">
        <x:v>3_20um.csv</x:v>
      </x:c>
      <x:c r="C7" s="1"/>
      <x:c r="D7" s="1" t="str">
        <x:v>I-V</x:v>
      </x:c>
      <x:c r="E7" s="10" t="str">
        <x:v>Most measurements are strongly rectifying; the Ohmic-like label is relative, not ideal Ohmic behavior.</x:v>
      </x:c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15" hidden="0" customHeight="1">
      <x:c r="A8" s="1" t="str">
        <x:v>Most Ohmic-like I-V</x:v>
      </x:c>
      <x:c r="B8" s="1" t="str">
        <x:v>1_35um.csv</x:v>
      </x:c>
      <x:c r="C8" s="1"/>
      <x:c r="D8" s="1" t="str">
        <x:v>C-V</x:v>
      </x:c>
      <x:c r="E8" s="10" t="str">
        <x:v>Reverse-bias 1/C^2-V is highly linear and supports depletion-capacitance extraction.</x:v>
      </x:c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15" hidden="0" customHeight="1">
      <x:c r="A9" s="1" t="str">
        <x:v>Mean Vbi (V)</x:v>
      </x:c>
      <x:c r="B9" s="1" t="n">
        <x:f>AVERAGE('CV Parameters'!J6:J10)</x:f>
        <x:v>0.7191775162802071</x:v>
      </x:c>
      <x:c r="C9" s="1"/>
      <x:c r="D9" s="1" t="str">
        <x:v>Geometry</x:v>
      </x:c>
      <x:c r="E9" s="10" t="str">
        <x:v>Circular Pt electrode diameter 300 um (radius 150 um).</x:v>
      </x:c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15" hidden="0" customHeight="1">
      <x:c r="A10" s="1" t="str">
        <x:v>Vbi sample SD (V)</x:v>
      </x:c>
      <x:c r="B10" s="1" t="n">
        <x:f>STDEV.S('CV Parameters'!J6:J10)</x:f>
        <x:v>0.022814325660917102</x:v>
      </x:c>
      <x:c r="C10" s="1"/>
      <x:c r="D10" s="1" t="str">
        <x:v>Connection</x:v>
      </x:c>
      <x:c r="E10" s="10" t="str">
        <x:v>HIGH to Pt electrode and LOW to stage; file gap is treated as a site label, not CTLM length.</x:v>
      </x:c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15" hidden="0" customHeight="1">
      <x:c r="A11" s="1" t="str">
        <x:v>Mean ND (cm^-3)</x:v>
      </x:c>
      <x:c r="B11" s="1" t="n">
        <x:f>AVERAGE('CV Parameters'!L6:L10)</x:f>
        <x:v>1170463903170430.8</x:v>
      </x:c>
      <x:c r="C11" s="1"/>
      <x:c r="D11" s="1" t="str">
        <x:v>Primary values</x:v>
      </x:c>
      <x:c r="E11" s="10" t="str">
        <x:v>Vbi, ND, phi_n and phi_B(C-V) are calculated from the course equations.</x:v>
      </x:c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15" hidden="0" customHeight="1">
      <x:c r="A12" s="1" t="str">
        <x:v>ND sample SD (cm^-3)</x:v>
      </x:c>
      <x:c r="B12" s="1" t="n">
        <x:f>STDEV.S('CV Parameters'!L6:L10)</x:f>
        <x:v>22638137077706.195</x:v>
      </x:c>
      <x:c r="C12" s="1"/>
      <x:c r="D12" s="1" t="str">
        <x:v>I-V fit</x:v>
      </x:c>
      <x:c r="E12" s="10" t="str">
        <x:v>n, Is and phi_B(I-V) are diagnostic because nonideality and series resistance affect them.</x:v>
      </x:c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15" hidden="0" customHeight="1">
      <x:c r="A13" s="1" t="str">
        <x:v>Mean phi_B(C-V) (eV)</x:v>
      </x:c>
      <x:c r="B13" s="1" t="n">
        <x:f>AVERAGE('CV Parameters'!O6:O10)</x:f>
        <x:v>0.9798356961657054</x:v>
      </x:c>
      <x:c r="C13" s="1"/>
      <x:c r="D13" s="1" t="str">
        <x:v>Data quality</x:v>
      </x:c>
      <x:c r="E13" s="10" t="str">
        <x:v>Restarted and incomplete full sweeps remain audited; every file covers the common -1 to +1 V range.</x:v>
      </x:c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15" hidden="0" customHeight="1">
      <x:c r="A14" s="1" t="str">
        <x:v>phi_B sample SD (eV)</x:v>
      </x:c>
      <x:c r="B14" s="1" t="n">
        <x:f>STDEV.S('CV Parameters'!O6:O10)</x:f>
        <x:v>0.022381941690556118</x:v>
      </x:c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15" hidden="0" customHeight="1">
      <x:c r="A18" s="9" t="str">
        <x:v>Constant</x:v>
      </x:c>
      <x:c r="B18" s="9" t="str">
        <x:v>Value</x:v>
      </x:c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15" hidden="0" customHeight="1">
      <x:c r="A19" s="1" t="str">
        <x:v>q (C)</x:v>
      </x:c>
      <x:c r="B19" s="1" t="n">
        <x:v>1.602176634e-19</x:v>
      </x:c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15" hidden="0" customHeight="1">
      <x:c r="A20" s="1" t="str">
        <x:v>epsilon_Si (F/cm)</x:v>
      </x:c>
      <x:c r="B20" s="1" t="n">
        <x:v>1.0359399740976e-12</x:v>
      </x:c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15" hidden="0" customHeight="1">
      <x:c r="A21" s="1" t="str">
        <x:v>Pt disk area (cm^2)</x:v>
      </x:c>
      <x:c r="B21" s="1" t="n">
        <x:v>0.0007068583470577034</x:v>
      </x:c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15" hidden="0" customHeight="1">
      <x:c r="A22" s="1" t="str">
        <x:v>Temperature (K)</x:v>
      </x:c>
      <x:c r="B22" s="1" t="n">
        <x:v>300</x:v>
      </x:c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15" hidden="0" customHeight="1">
      <x:c r="A23" s="1" t="str">
        <x:v>Nc for Si (cm^-3)</x:v>
      </x:c>
      <x:c r="B23" s="1" t="n">
        <x:v>28000000000000000000</x:v>
      </x:c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15" hidden="0" customHeight="1">
      <x:c r="A24" s="1" t="str">
        <x:v>kT/q (V)</x:v>
      </x:c>
      <x:c r="B24" s="1" t="n">
        <x:v>0.025851999786</x:v>
      </x:c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 ht="15" hidden="0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 ht="15" hidden="0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 ht="15" hidden="0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 ht="15" hidden="0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 ht="15" hidden="0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 ht="15" hidden="0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 ht="15" hidden="0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 ht="15" hidden="0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 ht="15" hidden="0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 ht="15" hidden="0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 ht="15" hidden="0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 ht="15" hidden="0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 ht="15" hidden="0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 ht="15" hidden="0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 ht="15" hidden="0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 ht="15" hidden="0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 ht="15" hidden="0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 ht="15" hidden="0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 ht="15" hidden="0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 ht="15" hidden="0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  <x:row r="101" ht="15" hidden="0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</x:row>
    <x:row r="102" ht="15" hidden="0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</x:row>
    <x:row r="103" ht="15" hidden="0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</x:row>
    <x:row r="104" ht="15" hidden="0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</x:row>
    <x:row r="105" ht="15" hidden="0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</x:row>
    <x:row r="106" ht="15" hidden="0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</x:row>
    <x:row r="107" ht="15" hidden="0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</x:row>
    <x:row r="108" ht="15" hidden="0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</x:row>
    <x:row r="109" ht="15" hidden="0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</x:row>
    <x:row r="110" ht="15" hidden="0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</x:row>
    <x:row r="111" ht="15" hidden="0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</x:row>
    <x:row r="112" ht="15" hidden="0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</x:row>
    <x:row r="113" ht="15" hidden="0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</x:row>
    <x:row r="114" ht="15" hidden="0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</x:row>
    <x:row r="115" ht="15" hidden="0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</x:row>
    <x:row r="116" ht="15" hidden="0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</x:row>
    <x:row r="117" ht="15" hidden="0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</x:row>
    <x:row r="118" ht="15" hidden="0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</x:row>
    <x:row r="119" ht="15" hidden="0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</x:row>
    <x:row r="120" ht="15" hidden="0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</x:row>
    <x:row r="121" ht="15" hidden="0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</x:row>
    <x:row r="122" ht="15" hidden="0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</x:row>
    <x:row r="123" ht="15" hidden="0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</x:row>
    <x:row r="124" ht="15" hidden="0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</x:row>
    <x:row r="125" ht="15" hidden="0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</x:row>
    <x:row r="126" ht="15" hidden="0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</x:row>
    <x:row r="127" ht="15" hidden="0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</x:row>
    <x:row r="128" ht="15" hidden="0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</x:row>
    <x:row r="129" ht="15" hidden="0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</x:row>
    <x:row r="130" ht="15" hidden="0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</x:row>
    <x:row r="131" ht="15" hidden="0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</x:row>
    <x:row r="132" ht="15" hidden="0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</x:row>
    <x:row r="133" ht="15" hidden="0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</x:row>
    <x:row r="134" ht="15" hidden="0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</x:row>
    <x:row r="135" ht="15" hidden="0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</x:row>
    <x:row r="136" ht="15" hidden="0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</x:row>
    <x:row r="137" ht="15" hidden="0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</x:row>
    <x:row r="138" ht="15" hidden="0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</x:row>
    <x:row r="139" ht="15" hidden="0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</x:row>
    <x:row r="140" ht="15" hidden="0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</x:row>
    <x:row r="141" ht="15" hidden="0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</x:row>
    <x:row r="142" ht="15" hidden="0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</x:row>
    <x:row r="143" ht="15" hidden="0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</x:row>
    <x:row r="144" ht="15" hidden="0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</x:row>
    <x:row r="145" ht="15" hidden="0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</x:row>
    <x:row r="146" ht="15" hidden="0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</x:row>
    <x:row r="147" ht="15" hidden="0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</x:row>
    <x:row r="148" ht="15" hidden="0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</x:row>
    <x:row r="149" ht="15" hidden="0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</x:row>
    <x:row r="150" ht="15" hidden="0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</x:row>
    <x:row r="151" ht="15" hidden="0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</x:row>
    <x:row r="152" ht="15" hidden="0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</x:row>
    <x:row r="153" ht="15" hidden="0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</x:row>
    <x:row r="154" ht="15" hidden="0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</x:row>
    <x:row r="155" ht="15" hidden="0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</x:row>
    <x:row r="156" ht="15" hidden="0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</x:row>
    <x:row r="157" ht="15" hidden="0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</x:row>
    <x:row r="158" ht="15" hidden="0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</x:row>
    <x:row r="159" ht="15" hidden="0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</x:row>
    <x:row r="160" ht="15" hidden="0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</x:row>
    <x:row r="161" ht="15" hidden="0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</x:row>
    <x:row r="162" ht="15" hidden="0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</x:row>
    <x:row r="163" ht="15" hidden="0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</x:row>
    <x:row r="164" ht="15" hidden="0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</x:row>
    <x:row r="165" ht="15" hidden="0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</x:row>
    <x:row r="166" ht="15" hidden="0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</x:row>
    <x:row r="167" ht="15" hidden="0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</x:row>
    <x:row r="168" ht="15" hidden="0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</x:row>
    <x:row r="169" ht="15" hidden="0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</x:row>
    <x:row r="170" ht="15" hidden="0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</x:row>
    <x:row r="171" ht="15" hidden="0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</x:row>
    <x:row r="172" ht="15" hidden="0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</x:row>
    <x:row r="173" ht="15" hidden="0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</x:row>
    <x:row r="174" ht="15" hidden="0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</x:row>
    <x:row r="175" ht="15" hidden="0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</x:row>
    <x:row r="176" ht="15" hidden="0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</x:row>
    <x:row r="177" ht="15" hidden="0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</x:row>
    <x:row r="178" ht="15" hidden="0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</x:row>
    <x:row r="179" ht="15" hidden="0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</x:row>
    <x:row r="180" ht="15" hidden="0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</x:row>
    <x:row r="181" ht="15" hidden="0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</x:row>
    <x:row r="182" ht="15" hidden="0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</x:row>
    <x:row r="183" ht="15" hidden="0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</x:row>
    <x:row r="184" ht="15" hidden="0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</x:row>
    <x:row r="185" ht="15" hidden="0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</x:row>
    <x:row r="186" ht="15" hidden="0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</x:row>
    <x:row r="187" ht="15" hidden="0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</x:row>
    <x:row r="188" ht="15" hidden="0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</x:row>
    <x:row r="189" ht="15" hidden="0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</x:row>
    <x:row r="190" ht="15" hidden="0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</x:row>
    <x:row r="191" ht="15" hidden="0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</x:row>
    <x:row r="192" ht="15" hidden="0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</x:row>
    <x:row r="193" ht="15" hidden="0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</x:row>
    <x:row r="194" ht="15" hidden="0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</x:row>
    <x:row r="195" ht="15" hidden="0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</x:row>
    <x:row r="196" ht="15" hidden="0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</x:row>
    <x:row r="197" ht="15" hidden="0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</x:row>
    <x:row r="198" ht="15" hidden="0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</x:row>
    <x:row r="199" ht="15" hidden="0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</x:row>
    <x:row r="200" ht="15" hidden="0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</x:row>
    <x:row r="201" ht="15" hidden="0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</x:row>
    <x:row r="202" ht="15" hidden="0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</x:row>
    <x:row r="203" ht="15" hidden="0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</x:row>
    <x:row r="204" ht="15" hidden="0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</x:row>
    <x:row r="205" ht="15" hidden="0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</x:row>
    <x:row r="206" ht="15" hidden="0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</x:row>
    <x:row r="207" ht="15" hidden="0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</x:row>
    <x:row r="208" ht="15" hidden="0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</x:row>
    <x:row r="209" ht="15" hidden="0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</x:row>
    <x:row r="210" ht="15" hidden="0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</x:row>
    <x:row r="211" ht="15" hidden="0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</x:row>
    <x:row r="212" ht="15" hidden="0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</x:row>
    <x:row r="213" ht="15" hidden="0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</x:row>
    <x:row r="214" ht="15" hidden="0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</x:row>
    <x:row r="215" ht="15" hidden="0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</x:row>
    <x:row r="216" ht="15" hidden="0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</x:row>
    <x:row r="217" ht="15" hidden="0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</x:row>
    <x:row r="218" ht="15" hidden="0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</x:row>
    <x:row r="219" ht="15" hidden="0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</x:row>
    <x:row r="220" ht="15" hidden="0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</x:row>
    <x:row r="221" ht="15" hidden="0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</x:row>
    <x:row r="222" ht="15" hidden="0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</x:row>
    <x:row r="223" ht="15" hidden="0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</x:row>
    <x:row r="224" ht="15" hidden="0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</x:row>
    <x:row r="225" ht="15" hidden="0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</x:row>
    <x:row r="226" ht="15" hidden="0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</x:row>
    <x:row r="227" ht="15" hidden="0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</x:row>
    <x:row r="228" ht="15" hidden="0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</x:row>
    <x:row r="229" ht="15" hidden="0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</x:row>
    <x:row r="230" ht="15" hidden="0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</x:row>
    <x:row r="231" ht="15" hidden="0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</x:row>
    <x:row r="232" ht="15" hidden="0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</x:row>
    <x:row r="233" ht="15" hidden="0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</x:row>
    <x:row r="234" ht="15" hidden="0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</x:row>
    <x:row r="235" ht="15" hidden="0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</x:row>
    <x:row r="236" ht="15" hidden="0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</x:row>
    <x:row r="237" ht="15" hidden="0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</x:row>
    <x:row r="238" ht="15" hidden="0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</x:row>
    <x:row r="239" ht="15" hidden="0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</x:row>
    <x:row r="240" ht="15" hidden="0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3.5" hidden="0" customWidth="1"/>
    <x:col min="2" max="2" width="25.25" hidden="0" customWidth="1"/>
    <x:col min="3" max="3" width="26.8799991607666" hidden="0" customWidth="1"/>
    <x:col min="4" max="4" width="19.8799991607666" hidden="0" customWidth="1"/>
    <x:col min="5" max="5" width="21.75" hidden="0" customWidth="1"/>
  </x:cols>
  <x:sheetData>
    <x:row r="1" ht="15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19.200000762939453" hidden="0" customHeight="1">
      <x:c r="A2" s="2" t="str">
        <x:v>Representative I-V comparison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15" hidden="0" customHeight="1">
      <x:c r="A3" s="3" t="str">
        <x:v>Native Excel charts; selected only from complete, non-restarted sweeps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15" hidden="0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</x:row>
    <x:row r="5" ht="15" hidden="0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15" hidden="0" customHeight="1">
      <x:c r="A6" s="9" t="str">
        <x:v>Voltage (V)</x:v>
      </x:c>
      <x:c r="B6" s="9" t="str">
        <x:v>Most Ohmic-like J: 1_35um.csv</x:v>
      </x:c>
      <x:c r="C6" s="9" t="str">
        <x:v>Best Schottky-like J: 3_20um.csv</x:v>
      </x:c>
      <x:c r="D6" s="9" t="str">
        <x:v>log10(abs(J Ohmic-like))</x:v>
      </x:c>
      <x:c r="E6" s="9" t="str">
        <x:v>log10(abs(J Schottky-like))</x:v>
      </x:c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15" hidden="0" customHeight="1">
      <x:c r="A7" s="1" t="n">
        <x:v>-1</x:v>
      </x:c>
      <x:c r="B7" s="1" t="n">
        <x:v>-0.004124549721494039</x:v>
      </x:c>
      <x:c r="C7" s="1" t="n">
        <x:v>-3.531444127624587e-7</x:v>
      </x:c>
      <x:c r="D7" s="1" t="n">
        <x:f>LOG10(MAX(ABS(B7),1E-30))</x:f>
        <x:v>-2.3846234566036</x:v>
      </x:c>
      <x:c r="E7" s="1" t="n">
        <x:f>LOG10(MAX(ABS(C7),1E-30))</x:f>
        <x:v>-6.45204766050337</x:v>
      </x:c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15" hidden="0" customHeight="1">
      <x:c r="A8" s="1" t="n">
        <x:v>-0.9900011</x:v>
      </x:c>
      <x:c r="B8" s="1" t="n">
        <x:v>-0.00408056778348707</x:v>
      </x:c>
      <x:c r="C8" s="1" t="n">
        <x:v>-3.263437106432072e-7</x:v>
      </x:c>
      <x:c r="D8" s="1" t="n">
        <x:f>LOG10(MAX(ABS(B8),1E-30))</x:f>
        <x:v>-2.38927940355737</x:v>
      </x:c>
      <x:c r="E8" s="1" t="n">
        <x:f>LOG10(MAX(ABS(C8),1E-30))</x:f>
        <x:v>-6.48632475269152</x:v>
      </x:c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15" hidden="0" customHeight="1">
      <x:c r="A9" s="1" t="n">
        <x:v>-0.9800007</x:v>
      </x:c>
      <x:c r="B9" s="1" t="n">
        <x:v>-0.0040784909883185465</x:v>
      </x:c>
      <x:c r="C9" s="1" t="n">
        <x:v>-3.0269583257884103e-7</x:v>
      </x:c>
      <x:c r="D9" s="1" t="n">
        <x:f>LOG10(MAX(ABS(B9),1E-30))</x:f>
        <x:v>-2.38950049295664</x:v>
      </x:c>
      <x:c r="E9" s="1" t="n">
        <x:f>LOG10(MAX(ABS(C9),1E-30))</x:f>
        <x:v>-6.5189935582323</x:v>
      </x:c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15" hidden="0" customHeight="1">
      <x:c r="A10" s="1" t="n">
        <x:v>-0.9700009</x:v>
      </x:c>
      <x:c r="B10" s="1" t="n">
        <x:v>-0.003977521677710443</x:v>
      </x:c>
      <x:c r="C10" s="1" t="n">
        <x:v>-3.3264978316615945e-7</x:v>
      </x:c>
      <x:c r="D10" s="1" t="n">
        <x:f>LOG10(MAX(ABS(B10),1E-30))</x:f>
        <x:v>-2.40038744474628</x:v>
      </x:c>
      <x:c r="E10" s="1" t="n">
        <x:f>LOG10(MAX(ABS(C10),1E-30))</x:f>
        <x:v>-6.47801275530758</x:v>
      </x:c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15" hidden="0" customHeight="1">
      <x:c r="A11" s="1" t="n">
        <x:v>-0.9600019</x:v>
      </x:c>
      <x:c r="B11" s="1" t="n">
        <x:v>-0.00395541540979263</x:v>
      </x:c>
      <x:c r="C11" s="1" t="n">
        <x:v>-2.93236794529943e-7</x:v>
      </x:c>
      <x:c r="D11" s="1" t="n">
        <x:f>LOG10(MAX(ABS(B11),1E-30))</x:f>
        <x:v>-2.4028078988397</x:v>
      </x:c>
      <x:c r="E11" s="1" t="n">
        <x:f>LOG10(MAX(ABS(C11),1E-30))</x:f>
        <x:v>-6.5327815365591</x:v>
      </x:c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15" hidden="0" customHeight="1">
      <x:c r="A12" s="1" t="n">
        <x:v>-0.9500008</x:v>
      </x:c>
      <x:c r="B12" s="1" t="n">
        <x:v>-0.00394867714317977</x:v>
      </x:c>
      <x:c r="C12" s="1" t="n">
        <x:v>-2.9008368753293666e-7</x:v>
      </x:c>
      <x:c r="D12" s="1" t="n">
        <x:f>LOG10(MAX(ABS(B12),1E-30))</x:f>
        <x:v>-2.40354837415597</x:v>
      </x:c>
      <x:c r="E12" s="1" t="n">
        <x:f>LOG10(MAX(ABS(C12),1E-30))</x:f>
        <x:v>-6.53747669247834</x:v>
      </x:c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15" hidden="0" customHeight="1">
      <x:c r="A13" s="1" t="n">
        <x:v>-0.9399997</x:v>
      </x:c>
      <x:c r="B13" s="1" t="n">
        <x:v>-0.003894273032143842</x:v>
      </x:c>
      <x:c r="C13" s="1" t="n">
        <x:v>-3.5787407325796824e-7</x:v>
      </x:c>
      <x:c r="D13" s="1" t="n">
        <x:f>LOG10(MAX(ABS(B13),1E-30))</x:f>
        <x:v>-2.40957360284254</x:v>
      </x:c>
      <x:c r="E13" s="1" t="n">
        <x:f>LOG10(MAX(ABS(C13),1E-30))</x:f>
        <x:v>-6.44626976360736</x:v>
      </x:c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15" hidden="0" customHeight="1">
      <x:c r="A14" s="1" t="n">
        <x:v>-0.9299999</x:v>
      </x:c>
      <x:c r="B14" s="1" t="n">
        <x:v>-0.0038720946139851613</x:v>
      </x:c>
      <x:c r="C14" s="1" t="n">
        <x:v>-3.4053226771655426e-7</x:v>
      </x:c>
      <x:c r="D14" s="1" t="n">
        <x:f>LOG10(MAX(ABS(B14),1E-30))</x:f>
        <x:v>-2.41205403932086</x:v>
      </x:c>
      <x:c r="E14" s="1" t="n">
        <x:f>LOG10(MAX(ABS(C14),1E-30))</x:f>
        <x:v>-6.46784172948607</x:v>
      </x:c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15" hidden="0" customHeight="1">
      <x:c r="A15" s="1" t="n">
        <x:v>-0.9200002</x:v>
      </x:c>
      <x:c r="B15" s="1" t="n">
        <x:v>-0.003834669859633579</x:v>
      </x:c>
      <x:c r="C15" s="1" t="n">
        <x:v>-3.421088212150575e-7</x:v>
      </x:c>
      <x:c r="D15" s="1" t="n">
        <x:f>LOG10(MAX(ABS(B15),1E-30))</x:f>
        <x:v>-2.41627202006211</x:v>
      </x:c>
      <x:c r="E15" s="1" t="n">
        <x:f>LOG10(MAX(ABS(C15),1E-30))</x:f>
        <x:v>-6.46583572746465</x:v>
      </x:c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15" hidden="0" customHeight="1">
      <x:c r="A16" s="1" t="n">
        <x:v>-0.9100031</x:v>
      </x:c>
      <x:c r="B16" s="1" t="n">
        <x:v>-0.0037649854593502234</x:v>
      </x:c>
      <x:c r="C16" s="1" t="n">
        <x:v>-3.090019051017933e-7</x:v>
      </x:c>
      <x:c r="D16" s="1" t="n">
        <x:f>LOG10(MAX(ABS(B16),1E-30))</x:f>
        <x:v>-2.42423669673716</x:v>
      </x:c>
      <x:c r="E16" s="1" t="n">
        <x:f>LOG10(MAX(ABS(C16),1E-30))</x:f>
        <x:v>-6.51003884299379</x:v>
      </x:c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15" hidden="0" customHeight="1">
      <x:c r="A17" s="1" t="n">
        <x:v>-0.8999993</x:v>
      </x:c>
      <x:c r="B17" s="1" t="n">
        <x:v>-0.0036786668917702056</x:v>
      </x:c>
      <x:c r="C17" s="1" t="n">
        <x:v>-3.2319060364620084e-7</x:v>
      </x:c>
      <x:c r="D17" s="1" t="n">
        <x:f>LOG10(MAX(ABS(B17),1E-30))</x:f>
        <x:v>-2.43430953633734</x:v>
      </x:c>
      <x:c r="E17" s="1" t="n">
        <x:f>LOG10(MAX(ABS(C17),1E-30))</x:f>
        <x:v>-6.49054127427098</x:v>
      </x:c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15" hidden="0" customHeight="1">
      <x:c r="A18" s="1" t="n">
        <x:v>-0.8900015</x:v>
      </x:c>
      <x:c r="B18" s="1" t="n">
        <x:v>-0.0037087492980804816</x:v>
      </x:c>
      <x:c r="C18" s="1" t="n">
        <x:v>-2.822012029825418e-7</x:v>
      </x:c>
      <x:c r="D18" s="1" t="n">
        <x:f>LOG10(MAX(ABS(B18),1E-30))</x:f>
        <x:v>-2.43077252286986</x:v>
      </x:c>
      <x:c r="E18" s="1" t="n">
        <x:f>LOG10(MAX(ABS(C18),1E-30))</x:f>
        <x:v>-6.54944113924373</x:v>
      </x:c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15" hidden="0" customHeight="1">
      <x:c r="A19" s="1" t="n">
        <x:v>-0.8800025</x:v>
      </x:c>
      <x:c r="B19" s="1" t="n">
        <x:v>-0.003583978896249462</x:v>
      </x:c>
      <x:c r="C19" s="1" t="n">
        <x:v>-3.20037638120255e-7</x:v>
      </x:c>
      <x:c r="D19" s="1" t="n">
        <x:f>LOG10(MAX(ABS(B19),1E-30))</x:f>
        <x:v>-2.44563455628374</x:v>
      </x:c>
      <x:c r="E19" s="1" t="n">
        <x:f>LOG10(MAX(ABS(C19),1E-30))</x:f>
        <x:v>-6.49479894334663</x:v>
      </x:c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15" hidden="0" customHeight="1">
      <x:c r="A20" s="1" t="n">
        <x:v>-0.8700027</x:v>
      </x:c>
      <x:c r="B20" s="1" t="n">
        <x:v>-0.0036640501017966456</x:v>
      </x:c>
      <x:c r="C20" s="1" t="n">
        <x:v>-3.184610846217518e-7</x:v>
      </x:c>
      <x:c r="D20" s="1" t="n">
        <x:f>LOG10(MAX(ABS(B20),1E-30))</x:f>
        <x:v>-2.43603859647115</x:v>
      </x:c>
      <x:c r="E20" s="1" t="n">
        <x:f>LOG10(MAX(ABS(C20),1E-30))</x:f>
        <x:v>-6.49694363009978</x:v>
      </x:c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15" hidden="0" customHeight="1">
      <x:c r="A21" s="1" t="n">
        <x:v>-0.8600043</x:v>
      </x:c>
      <x:c r="B21" s="1" t="n">
        <x:v>-0.0035682812673734827</x:v>
      </x:c>
      <x:c r="C21" s="1" t="n">
        <x:v>-2.695890579366373e-7</x:v>
      </x:c>
      <x:c r="D21" s="1" t="n">
        <x:f>LOG10(MAX(ABS(B21),1E-30))</x:f>
        <x:v>-2.4475409199759</x:v>
      </x:c>
      <x:c r="E21" s="1" t="n">
        <x:f>LOG10(MAX(ABS(C21),1E-30))</x:f>
        <x:v>-6.56929773889553</x:v>
      </x:c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15" hidden="0" customHeight="1">
      <x:c r="A22" s="1" t="n">
        <x:v>-0.8500032</x:v>
      </x:c>
      <x:c r="B22" s="1" t="n">
        <x:v>-0.0035101451497608752</x:v>
      </x:c>
      <x:c r="C22" s="1" t="n">
        <x:v>-2.695890579366373e-7</x:v>
      </x:c>
      <x:c r="D22" s="1" t="n">
        <x:f>LOG10(MAX(ABS(B22),1E-30))</x:f>
        <x:v>-2.45467492443536</x:v>
      </x:c>
      <x:c r="E22" s="1" t="n">
        <x:f>LOG10(MAX(ABS(C22),1E-30))</x:f>
        <x:v>-6.56929773889553</x:v>
      </x:c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15" hidden="0" customHeight="1">
      <x:c r="A23" s="1" t="n">
        <x:v>-0.8399988</x:v>
      </x:c>
      <x:c r="B23" s="1" t="n">
        <x:v>-0.0035179699141185752</x:v>
      </x:c>
      <x:c r="C23" s="1" t="n">
        <x:v>-2.254464936875477e-7</x:v>
      </x:c>
      <x:c r="D23" s="1" t="n">
        <x:f>LOG10(MAX(ABS(B23),1E-30))</x:f>
        <x:v>-2.45370787897411</x:v>
      </x:c>
      <x:c r="E23" s="1" t="n">
        <x:f>LOG10(MAX(ABS(C23),1E-30))</x:f>
        <x:v>-6.64695651477742</x:v>
      </x:c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15" hidden="0" customHeight="1">
      <x:c r="A24" s="1" t="n">
        <x:v>-0.8300003</x:v>
      </x:c>
      <x:c r="B24" s="1" t="n">
        <x:v>-0.003549130329910061</x:v>
      </x:c>
      <x:c r="C24" s="1" t="n">
        <x:v>-3.011194205513984e-7</x:v>
      </x:c>
      <x:c r="D24" s="1" t="n">
        <x:f>LOG10(MAX(ABS(B24),1E-30))</x:f>
        <x:v>-2.44987805235105</x:v>
      </x:c>
      <x:c r="E24" s="1" t="n">
        <x:f>LOG10(MAX(ABS(C24),1E-30))</x:f>
        <x:v>-6.5212612339714</x:v>
      </x:c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15" hidden="0" customHeight="1">
      <x:c r="A25" s="1" t="n">
        <x:v>-0.8199986</x:v>
      </x:c>
      <x:c r="B25" s="1" t="n">
        <x:v>-0.0033943425984566075</x:v>
      </x:c>
      <x:c r="C25" s="1" t="n">
        <x:v>-2.93236794529943e-7</x:v>
      </x:c>
      <x:c r="D25" s="1" t="n">
        <x:f>LOG10(MAX(ABS(B25),1E-30))</x:f>
        <x:v>-2.46924432550975</x:v>
      </x:c>
      <x:c r="E25" s="1" t="n">
        <x:f>LOG10(MAX(ABS(C25),1E-30))</x:f>
        <x:v>-6.5327815365591</x:v>
      </x:c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15" hidden="0" customHeight="1">
      <x:c r="A26" s="1" t="n">
        <x:v>-0.8099995</x:v>
      </x:c>
      <x:c r="B26" s="1" t="n">
        <x:v>-0.0033816243501153084</x:v>
      </x:c>
      <x:c r="C26" s="1" t="n">
        <x:v>-2.758951304595896e-7</x:v>
      </x:c>
      <x:c r="D26" s="1" t="n">
        <x:f>LOG10(MAX(ABS(B26),1E-30))</x:f>
        <x:v>-2.47087463793671</x:v>
      </x:c>
      <x:c r="E26" s="1" t="n">
        <x:f>LOG10(MAX(ABS(C26),1E-30))</x:f>
        <x:v>-6.55925596473717</x:v>
      </x:c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15" hidden="0" customHeight="1">
      <x:c r="A27" s="1" t="n">
        <x:v>-0.7999984</x:v>
      </x:c>
      <x:c r="B27" s="1" t="n">
        <x:v>-0.0033679780516169574</x:v>
      </x:c>
      <x:c r="C27" s="1" t="n">
        <x:v>-3.0269583257884103e-7</x:v>
      </x:c>
      <x:c r="D27" s="1" t="n">
        <x:f>LOG10(MAX(ABS(B27),1E-30))</x:f>
        <x:v>-2.47263074736618</x:v>
      </x:c>
      <x:c r="E27" s="1" t="n">
        <x:f>LOG10(MAX(ABS(C27),1E-30))</x:f>
        <x:v>-6.5189935582323</x:v>
      </x:c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15" hidden="0" customHeight="1">
      <x:c r="A28" s="1" t="n">
        <x:v>-0.7900006</x:v>
      </x:c>
      <x:c r="B28" s="1" t="n">
        <x:v>-0.0032610811035728095</x:v>
      </x:c>
      <x:c r="C28" s="1" t="n">
        <x:v>-2.948133480284462e-7</x:v>
      </x:c>
      <x:c r="D28" s="1" t="n">
        <x:f>LOG10(MAX(ABS(B28),1E-30))</x:f>
        <x:v>-2.48663840009127</x:v>
      </x:c>
      <x:c r="E28" s="1" t="n">
        <x:f>LOG10(MAX(ABS(C28),1E-30))</x:f>
        <x:v>-6.53045285716351</x:v>
      </x:c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15" hidden="0" customHeight="1">
      <x:c r="A29" s="1" t="n">
        <x:v>-0.7800002</x:v>
      </x:c>
      <x:c r="B29" s="1" t="n">
        <x:v>-0.0031773160886352883</x:v>
      </x:c>
      <x:c r="C29" s="1" t="n">
        <x:v>-2.93236794529943e-7</x:v>
      </x:c>
      <x:c r="D29" s="1" t="n">
        <x:f>LOG10(MAX(ABS(B29),1E-30))</x:f>
        <x:v>-2.49793957814686</x:v>
      </x:c>
      <x:c r="E29" s="1" t="n">
        <x:f>LOG10(MAX(ABS(C29),1E-30))</x:f>
        <x:v>-6.5327815365591</x:v>
      </x:c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15" hidden="0" customHeight="1">
      <x:c r="A30" s="1" t="n">
        <x:v>-0.7699998</x:v>
      </x:c>
      <x:c r="B30" s="1" t="n">
        <x:v>-0.003229053470180299</x:v>
      </x:c>
      <x:c r="C30" s="1" t="n">
        <x:v>-3.074254930743506e-7</x:v>
      </x:c>
      <x:c r="D30" s="1" t="n">
        <x:f>LOG10(MAX(ABS(B30),1E-30))</x:f>
        <x:v>-2.49092476340279</x:v>
      </x:c>
      <x:c r="E30" s="1" t="n">
        <x:f>LOG10(MAX(ABS(C30),1E-30))</x:f>
        <x:v>-6.51226012173394</x:v>
      </x:c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15" hidden="0" customHeight="1">
      <x:c r="A31" s="1" t="n">
        <x:v>-0.7600007</x:v>
      </x:c>
      <x:c r="B31" s="1" t="n">
        <x:v>-0.003225775585707908</x:v>
      </x:c>
      <x:c r="C31" s="1" t="n">
        <x:v>-2.66435950939631e-7</x:v>
      </x:c>
      <x:c r="D31" s="1" t="n">
        <x:f>LOG10(MAX(ABS(B31),1E-30))</x:f>
        <x:v>-2.49136584937074</x:v>
      </x:c>
      <x:c r="E31" s="1" t="n">
        <x:f>LOG10(MAX(ABS(C31),1E-30))</x:f>
        <x:v>-6.57440717499242</x:v>
      </x:c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15" hidden="0" customHeight="1">
      <x:c r="A32" s="1" t="n">
        <x:v>-0.7499989</x:v>
      </x:c>
      <x:c r="B32" s="1" t="n">
        <x:v>-0.0031449149716429887</x:v>
      </x:c>
      <x:c r="C32" s="1" t="n">
        <x:v>-2.9796631355439204e-7</x:v>
      </x:c>
      <x:c r="D32" s="1" t="n">
        <x:f>LOG10(MAX(ABS(B32),1E-30))</x:f>
        <x:v>-2.50239109198197</x:v>
      </x:c>
      <x:c r="E32" s="1" t="n">
        <x:f>LOG10(MAX(ABS(C32),1E-30))</x:f>
        <x:v>-6.52583283211299</x:v>
      </x:c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15" hidden="0" customHeight="1">
      <x:c r="A33" s="1" t="n">
        <x:v>-0.7399998</x:v>
      </x:c>
      <x:c r="B33" s="1" t="n">
        <x:v>-0.003082039573502756</x:v>
      </x:c>
      <x:c r="C33" s="1" t="n">
        <x:v>-3.2161405014769767e-7</x:v>
      </x:c>
      <x:c r="D33" s="1" t="n">
        <x:f>LOG10(MAX(ABS(B33),1E-30))</x:f>
        <x:v>-2.5111617892245</x:v>
      </x:c>
      <x:c r="E33" s="1" t="n">
        <x:f>LOG10(MAX(ABS(C33),1E-30))</x:f>
        <x:v>-6.49266498676336</x:v>
      </x:c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15" hidden="0" customHeight="1">
      <x:c r="A34" s="1" t="n">
        <x:v>-0.7299987</x:v>
      </x:c>
      <x:c r="B34" s="1" t="n">
        <x:v>-0.003047718694219117</x:v>
      </x:c>
      <x:c r="C34" s="1" t="n">
        <x:v>-3.0584893957584743e-7</x:v>
      </x:c>
      <x:c r="D34" s="1" t="n">
        <x:f>LOG10(MAX(ABS(B34),1E-30))</x:f>
        <x:v>-2.51602512105499</x:v>
      </x:c>
      <x:c r="E34" s="1" t="n">
        <x:f>LOG10(MAX(ABS(C34),1E-30))</x:f>
        <x:v>-6.51449302092768</x:v>
      </x:c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15" hidden="0" customHeight="1">
      <x:c r="A35" s="1" t="n">
        <x:v>-0.719999</x:v>
      </x:c>
      <x:c r="B35" s="1" t="n">
        <x:v>-0.0030602134182847844</x:v>
      </x:c>
      <x:c r="C35" s="1" t="n">
        <x:v>-2.5697691289073295e-7</x:v>
      </x:c>
      <x:c r="D35" s="1" t="n">
        <x:f>LOG10(MAX(ABS(B35),1E-30))</x:f>
        <x:v>-2.51424828490686</x:v>
      </x:c>
      <x:c r="E35" s="1" t="n">
        <x:f>LOG10(MAX(ABS(C35),1E-30))</x:f>
        <x:v>-6.59010589244515</x:v>
      </x:c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15" hidden="0" customHeight="1">
      <x:c r="A36" s="1" t="n">
        <x:v>-0.7099986</x:v>
      </x:c>
      <x:c r="B36" s="1" t="n">
        <x:v>-0.003010923486086876</x:v>
      </x:c>
      <x:c r="C36" s="1" t="n">
        <x:v>-2.5697691289073295e-7</x:v>
      </x:c>
      <x:c r="D36" s="1" t="n">
        <x:f>LOG10(MAX(ABS(B36),1E-30))</x:f>
        <x:v>-2.52130028068534</x:v>
      </x:c>
      <x:c r="E36" s="1" t="n">
        <x:f>LOG10(MAX(ABS(C36),1E-30))</x:f>
        <x:v>-6.59010589244515</x:v>
      </x:c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15" hidden="0" customHeight="1">
      <x:c r="A37" s="1" t="n">
        <x:v>-0.7000001</x:v>
      </x:c>
      <x:c r="B37" s="1" t="n">
        <x:v>-0.002970645260444482</x:v>
      </x:c>
      <x:c r="C37" s="1" t="n">
        <x:v>-2.822012029825418e-7</x:v>
      </x:c>
      <x:c r="D37" s="1" t="n">
        <x:f>LOG10(MAX(ABS(B37),1E-30))</x:f>
        <x:v>-2.52714920636858</x:v>
      </x:c>
      <x:c r="E37" s="1" t="n">
        <x:f>LOG10(MAX(ABS(C37),1E-30))</x:f>
        <x:v>-6.54944113924373</x:v>
      </x:c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15" hidden="0" customHeight="1">
      <x:c r="A38" s="1" t="n">
        <x:v>-0.6899997</x:v>
      </x:c>
      <x:c r="B38" s="1" t="n">
        <x:v>-0.0029109656935615343</x:v>
      </x:c>
      <x:c r="C38" s="1" t="n">
        <x:v>-2.6328298541368516e-7</x:v>
      </x:c>
      <x:c r="D38" s="1" t="n">
        <x:f>LOG10(MAX(ABS(B38),1E-30))</x:f>
        <x:v>-2.53596291279709</x:v>
      </x:c>
      <x:c r="E38" s="1" t="n">
        <x:f>LOG10(MAX(ABS(C38),1E-30))</x:f>
        <x:v>-6.5795772061416</x:v>
      </x:c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15" hidden="0" customHeight="1">
      <x:c r="A39" s="1" t="n">
        <x:v>-0.6799999</x:v>
      </x:c>
      <x:c r="B39" s="1" t="n">
        <x:v>-0.002885452802506252</x:v>
      </x:c>
      <x:c r="C39" s="1" t="n">
        <x:v>-2.475177475178804e-7</x:v>
      </x:c>
      <x:c r="D39" s="1" t="n">
        <x:f>LOG10(MAX(ABS(B39),1E-30))</x:f>
        <x:v>-2.53978602507347</x:v>
      </x:c>
      <x:c r="E39" s="1" t="n">
        <x:f>LOG10(MAX(ABS(C39),1E-30))</x:f>
        <x:v>-6.60639365583041</x:v>
      </x:c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15" hidden="0" customHeight="1">
      <x:c r="A40" s="1" t="n">
        <x:v>-0.6699995</x:v>
      </x:c>
      <x:c r="B40" s="1" t="n">
        <x:v>-0.00283070067266143</x:v>
      </x:c>
      <x:c r="C40" s="1" t="n">
        <x:v>-3.105784586002964e-7</x:v>
      </x:c>
      <x:c r="D40" s="1" t="n">
        <x:f>LOG10(MAX(ABS(B40),1E-30))</x:f>
        <x:v>-2.54810605189392</x:v>
      </x:c>
      <x:c r="E40" s="1" t="n">
        <x:f>LOG10(MAX(ABS(C40),1E-30))</x:f>
        <x:v>-6.50782866977763</x:v>
      </x:c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15" hidden="0" customHeight="1">
      <x:c r="A41" s="1" t="n">
        <x:v>-0.6600004</x:v>
      </x:c>
      <x:c r="B41" s="1" t="n">
        <x:v>-0.0027895028851256153</x:v>
      </x:c>
      <x:c r="C41" s="1" t="n">
        <x:v>-2.6328298541368516e-7</x:v>
      </x:c>
      <x:c r="D41" s="1" t="n">
        <x:f>LOG10(MAX(ABS(B41),1E-30))</x:f>
        <x:v>-2.55447318507151</x:v>
      </x:c>
      <x:c r="E41" s="1" t="n">
        <x:f>LOG10(MAX(ABS(C41),1E-30))</x:f>
        <x:v>-6.5795772061416</x:v>
      </x:c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15" hidden="0" customHeight="1">
      <x:c r="A42" s="1" t="n">
        <x:v>-0.6500007</x:v>
      </x:c>
      <x:c r="B42" s="1" t="n">
        <x:v>-0.0027710833530451137</x:v>
      </x:c>
      <x:c r="C42" s="1" t="n">
        <x:v>-1.9549264212997171e-7</x:v>
      </x:c>
      <x:c r="D42" s="1" t="n">
        <x:f>LOG10(MAX(ABS(B42),1E-30))</x:f>
        <x:v>-2.55735041062228</x:v>
      </x:c>
      <x:c r="E42" s="1" t="n">
        <x:f>LOG10(MAX(ABS(C42),1E-30))</x:f>
        <x:v>-6.70886958375398</x:v>
      </x:c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15" hidden="0" customHeight="1">
      <x:c r="A43" s="1" t="n">
        <x:v>-0.6400002</x:v>
      </x:c>
      <x:c r="B43" s="1" t="n">
        <x:v>-0.002711988061642139</x:v>
      </x:c>
      <x:c r="C43" s="1" t="n">
        <x:v>-2.5067084036778074e-7</x:v>
      </x:c>
      <x:c r="D43" s="1" t="n">
        <x:f>LOG10(MAX(ABS(B43),1E-30))</x:f>
        <x:v>-2.56671222659493</x:v>
      </x:c>
      <x:c r="E43" s="1" t="n">
        <x:f>LOG10(MAX(ABS(C43),1E-30))</x:f>
        <x:v>-6.60089618300991</x:v>
      </x:c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15" hidden="0" customHeight="1">
      <x:c r="A44" s="1" t="n">
        <x:v>-0.6300005</x:v>
      </x:c>
      <x:c r="B44" s="1" t="n">
        <x:v>-0.0026566841946612644</x:v>
      </x:c>
      <x:c r="C44" s="1" t="n">
        <x:v>-1.702683378910568e-7</x:v>
      </x:c>
      <x:c r="D44" s="1" t="n">
        <x:f>LOG10(MAX(ABS(B44),1E-30))</x:f>
        <x:v>-2.57566006797115</x:v>
      </x:c>
      <x:c r="E44" s="1" t="n">
        <x:f>LOG10(MAX(ABS(C44),1E-30))</x:f>
        <x:v>-6.76886610340333</x:v>
      </x:c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15" hidden="0" customHeight="1">
      <x:c r="A45" s="1" t="n">
        <x:v>-0.6200007</x:v>
      </x:c>
      <x:c r="B45" s="1" t="n">
        <x:v>-0.0026271337195385666</x:v>
      </x:c>
      <x:c r="C45" s="1" t="n">
        <x:v>-2.207169322217805e-7</x:v>
      </x:c>
      <x:c r="D45" s="1" t="n">
        <x:f>LOG10(MAX(ABS(B45),1E-30))</x:f>
        <x:v>-2.58051782132138</x:v>
      </x:c>
      <x:c r="E45" s="1" t="n">
        <x:f>LOG10(MAX(ABS(C45),1E-30))</x:f>
        <x:v>-6.656164348812</x:v>
      </x:c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15" hidden="0" customHeight="1">
      <x:c r="A46" s="1" t="n">
        <x:v>-0.6100003</x:v>
      </x:c>
      <x:c r="B46" s="1" t="n">
        <x:v>-0.0026053004907675694</x:v>
      </x:c>
      <x:c r="C46" s="1" t="n">
        <x:v>-2.7116546996408e-7</x:v>
      </x:c>
      <x:c r="D46" s="1" t="n">
        <x:f>LOG10(MAX(ABS(B46),1E-30))</x:f>
        <x:v>-2.58414217871531</x:v>
      </x:c>
      <x:c r="E46" s="1" t="n">
        <x:f>LOG10(MAX(ABS(C46),1E-30))</x:f>
        <x:v>-6.56676561406317</x:v>
      </x:c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15" hidden="0" customHeight="1">
      <x:c r="A47" s="1" t="n">
        <x:v>-0.5999992</x:v>
      </x:c>
      <x:c r="B47" s="1" t="n">
        <x:v>-0.0025420388766321</x:v>
      </x:c>
      <x:c r="C47" s="1" t="n">
        <x:v>-3.2319060364620084e-7</x:v>
      </x:c>
      <x:c r="D47" s="1" t="n">
        <x:f>LOG10(MAX(ABS(B47),1E-30))</x:f>
        <x:v>-2.5948178118553</x:v>
      </x:c>
      <x:c r="E47" s="1" t="n">
        <x:f>LOG10(MAX(ABS(C47),1E-30))</x:f>
        <x:v>-6.49054127427098</x:v>
      </x:c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15" hidden="0" customHeight="1">
      <x:c r="A48" s="1" t="n">
        <x:v>-0.5900001</x:v>
      </x:c>
      <x:c r="B48" s="1" t="n">
        <x:v>-0.0025086743417176175</x:v>
      </x:c>
      <x:c r="C48" s="1" t="n">
        <x:v>-3.342261951936021e-7</x:v>
      </x:c>
      <x:c r="D48" s="1" t="n">
        <x:f>LOG10(MAX(ABS(B48),1E-30))</x:f>
        <x:v>-2.60055571205105</x:v>
      </x:c>
      <x:c r="E48" s="1" t="n">
        <x:f>LOG10(MAX(ABS(C48),1E-30))</x:f>
        <x:v>-6.47595951499857</x:v>
      </x:c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15" hidden="0" customHeight="1">
      <x:c r="A49" s="1" t="n">
        <x:v>-0.5799997</x:v>
      </x:c>
      <x:c r="B49" s="1" t="n">
        <x:v>-0.002458058825682579</x:v>
      </x:c>
      <x:c r="C49" s="1" t="n">
        <x:v>-3.4053226771655426e-7</x:v>
      </x:c>
      <x:c r="D49" s="1" t="n">
        <x:f>LOG10(MAX(ABS(B49),1E-30))</x:f>
        <x:v>-2.60940772789235</x:v>
      </x:c>
      <x:c r="E49" s="1" t="n">
        <x:f>LOG10(MAX(ABS(C49),1E-30))</x:f>
        <x:v>-6.46784172948607</x:v>
      </x:c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15" hidden="0" customHeight="1">
      <x:c r="A50" s="1" t="n">
        <x:v>-0.5699999</x:v>
      </x:c>
      <x:c r="B50" s="1" t="n">
        <x:v>-0.002424073232812387</x:v>
      </x:c>
      <x:c r="C50" s="1" t="n">
        <x:v>-2.3490560247197598e-7</x:v>
      </x:c>
      <x:c r="D50" s="1" t="n">
        <x:f>LOG10(MAX(ABS(B50),1E-30))</x:f>
        <x:v>-2.61545426399177</x:v>
      </x:c>
      <x:c r="E50" s="1" t="n">
        <x:f>LOG10(MAX(ABS(C50),1E-30))</x:f>
        <x:v>-6.62910662522474</x:v>
      </x:c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15" hidden="0" customHeight="1">
      <x:c r="A51" s="1" t="n">
        <x:v>-0.5600002</x:v>
      </x:c>
      <x:c r="B51" s="1" t="n">
        <x:v>-0.0023995789333928932</x:v>
      </x:c>
      <x:c r="C51" s="1" t="n">
        <x:v>-2.2386996848325664e-7</x:v>
      </x:c>
      <x:c r="D51" s="1" t="n">
        <x:f>LOG10(MAX(ABS(B51),1E-30))</x:f>
        <x:v>-2.61986495951645</x:v>
      </x:c>
      <x:c r="E51" s="1" t="n">
        <x:f>LOG10(MAX(ABS(C51),1E-30))</x:f>
        <x:v>-6.65000416187775</x:v>
      </x:c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15" hidden="0" customHeight="1">
      <x:c r="A52" s="1" t="n">
        <x:v>-0.5500004</x:v>
      </x:c>
      <x:c r="B52" s="1" t="n">
        <x:v>-0.0023313729056920356</x:v>
      </x:c>
      <x:c r="C52" s="1" t="n">
        <x:v>-2.4909425857506544e-7</x:v>
      </x:c>
      <x:c r="D52" s="1" t="n">
        <x:f>LOG10(MAX(ABS(B52),1E-30))</x:f>
        <x:v>-2.63238825503733</x:v>
      </x:c>
      <x:c r="E52" s="1" t="n">
        <x:f>LOG10(MAX(ABS(C52),1E-30))</x:f>
        <x:v>-6.60363628249121</x:v>
      </x:c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15" hidden="0" customHeight="1">
      <x:c r="A53" s="1" t="n">
        <x:v>-0.5400007</x:v>
      </x:c>
      <x:c r="B53" s="1" t="n">
        <x:v>-0.002312633649014745</x:v>
      </x:c>
      <x:c r="C53" s="1" t="n">
        <x:v>-2.3963514979063715e-7</x:v>
      </x:c>
      <x:c r="D53" s="1" t="n">
        <x:f>LOG10(MAX(ABS(B53),1E-30))</x:f>
        <x:v>-2.63589315962573</x:v>
      </x:c>
      <x:c r="E53" s="1" t="n">
        <x:f>LOG10(MAX(ABS(C53),1E-30))</x:f>
        <x:v>-6.62044947910203</x:v>
      </x:c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15" hidden="0" customHeight="1">
      <x:c r="A54" s="1" t="n">
        <x:v>-0.5300002</x:v>
      </x:c>
      <x:c r="B54" s="1" t="n">
        <x:v>-0.002258578971498316</x:v>
      </x:c>
      <x:c r="C54" s="1" t="n">
        <x:v>-2.3963514979063715e-7</x:v>
      </x:c>
      <x:c r="D54" s="1" t="n">
        <x:f>LOG10(MAX(ABS(B54),1E-30))</x:f>
        <x:v>-2.64616471967582</x:v>
      </x:c>
      <x:c r="E54" s="1" t="n">
        <x:f>LOG10(MAX(ABS(C54),1E-30))</x:f>
        <x:v>-6.62044947910203</x:v>
      </x:c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15" hidden="0" customHeight="1">
      <x:c r="A55" s="1" t="n">
        <x:v>-0.5200005</x:v>
      </x:c>
      <x:c r="B55" s="1" t="n">
        <x:v>-0.002207971943726909</x:v>
      </x:c>
      <x:c r="C55" s="1" t="n">
        <x:v>-1.876100444027284e-7</x:v>
      </x:c>
      <x:c r="D55" s="1" t="n">
        <x:f>LOG10(MAX(ABS(B55),1E-30))</x:f>
        <x:v>-2.65600644940389</x:v>
      </x:c>
      <x:c r="E55" s="1" t="n">
        <x:f>LOG10(MAX(ABS(C55),1E-30))</x:f>
        <x:v>-6.72674391376131</x:v>
      </x:c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15" hidden="0" customHeight="1">
      <x:c r="A56" s="1" t="n">
        <x:v>-0.51</x:v>
      </x:c>
      <x:c r="B56" s="1" t="n">
        <x:v>-0.0021857652313561223</x:v>
      </x:c>
      <x:c r="C56" s="1" t="n">
        <x:v>-2.6012987841667877e-7</x:v>
      </x:c>
      <x:c r="D56" s="1" t="n">
        <x:f>LOG10(MAX(ABS(B56),1E-30))</x:f>
        <x:v>-2.66039648657751</x:v>
      </x:c>
      <x:c r="E56" s="1" t="n">
        <x:f>LOG10(MAX(ABS(C56),1E-30))</x:f>
        <x:v>-6.58480976204383</x:v>
      </x:c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15" hidden="0" customHeight="1">
      <x:c r="A57" s="1" t="n">
        <x:v>-0.500001</x:v>
      </x:c>
      <x:c r="B57" s="1" t="n">
        <x:v>-0.0021562571975515823</x:v>
      </x:c>
      <x:c r="C57" s="1" t="n">
        <x:v>-2.3648211352916104e-7</x:v>
      </x:c>
      <x:c r="D57" s="1" t="n">
        <x:f>LOG10(MAX(ABS(B57),1E-30))</x:f>
        <x:v>-2.66629943791229</x:v>
      </x:c>
      <x:c r="E57" s="1" t="n">
        <x:f>LOG10(MAX(ABS(C57),1E-30))</x:f>
        <x:v>-6.62620170181559</x:v>
      </x:c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15" hidden="0" customHeight="1">
      <x:c r="A58" s="1" t="n">
        <x:v>-0.4900005</x:v>
      </x:c>
      <x:c r="B58" s="1" t="n">
        <x:v>-0.0021010452867600503</x:v>
      </x:c>
      <x:c r="C58" s="1" t="n">
        <x:v>-2.4278818605211323e-7</x:v>
      </x:c>
      <x:c r="D58" s="1" t="n">
        <x:f>LOG10(MAX(ABS(B58),1E-30))</x:f>
        <x:v>-2.67756458653835</x:v>
      </x:c>
      <x:c r="E58" s="1" t="n">
        <x:f>LOG10(MAX(ABS(C58),1E-30))</x:f>
        <x:v>-6.6147724496281</x:v>
      </x:c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15" hidden="0" customHeight="1">
      <x:c r="A59" s="1" t="n">
        <x:v>-0.4800001</x:v>
      </x:c>
      <x:c r="B59" s="1" t="n">
        <x:v>-0.002055852356474978</x:v>
      </x:c>
      <x:c r="C59" s="1" t="n">
        <x:v>-2.2386996848325664e-7</x:v>
      </x:c>
      <x:c r="D59" s="1" t="n">
        <x:f>LOG10(MAX(ABS(B59),1E-30))</x:f>
        <x:v>-2.68700807794067</x:v>
      </x:c>
      <x:c r="E59" s="1" t="n">
        <x:f>LOG10(MAX(ABS(C59),1E-30))</x:f>
        <x:v>-6.65000416187775</x:v>
      </x:c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15" hidden="0" customHeight="1">
      <x:c r="A60" s="1" t="n">
        <x:v>-0.470001</x:v>
      </x:c>
      <x:c r="B60" s="1" t="n">
        <x:v>-0.0020283772618101986</x:v>
      </x:c>
      <x:c r="C60" s="1" t="n">
        <x:v>-2.3017604100620883e-7</x:v>
      </x:c>
      <x:c r="D60" s="1" t="n">
        <x:f>LOG10(MAX(ABS(B60),1E-30))</x:f>
        <x:v>-2.6928512665553</x:v>
      </x:c>
      <x:c r="E60" s="1" t="n">
        <x:f>LOG10(MAX(ABS(C60),1E-30))</x:f>
        <x:v>-6.63793988400908</x:v>
      </x:c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15" hidden="0" customHeight="1">
      <x:c r="A61" s="1" t="n">
        <x:v>-0.4599993</x:v>
      </x:c>
      <x:c r="B61" s="1" t="n">
        <x:v>-0.0019959874625027412</x:v>
      </x:c>
      <x:c r="C61" s="1" t="n">
        <x:v>-1.986456783914478e-7</x:v>
      </x:c>
      <x:c r="D61" s="1" t="n">
        <x:f>LOG10(MAX(ABS(B61),1E-30))</x:f>
        <x:v>-2.69984219099603</x:v>
      </x:c>
      <x:c r="E61" s="1" t="n">
        <x:f>LOG10(MAX(ABS(C61),1E-30))</x:f>
        <x:v>-6.70192087873931</x:v>
      </x:c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15" hidden="0" customHeight="1">
      <x:c r="A62" s="1" t="n">
        <x:v>-0.4499995</x:v>
      </x:c>
      <x:c r="B62" s="1" t="n">
        <x:v>-0.001948876184636935</x:v>
      </x:c>
      <x:c r="C62" s="1" t="n">
        <x:v>-2.522472523952234e-7</x:v>
      </x:c>
      <x:c r="D62" s="1" t="n">
        <x:f>LOG10(MAX(ABS(B62),1E-30))</x:f>
        <x:v>-2.71021575146064</x:v>
      </x:c>
      <x:c r="E62" s="1" t="n">
        <x:f>LOG10(MAX(ABS(C62),1E-30))</x:f>
        <x:v>-6.59817355562065</x:v>
      </x:c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15" hidden="0" customHeight="1">
      <x:c r="A63" s="1" t="n">
        <x:v>-0.4400011</x:v>
      </x:c>
      <x:c r="B63" s="1" t="n">
        <x:v>-0.0018873306144656478</x:v>
      </x:c>
      <x:c r="C63" s="1" t="n">
        <x:v>-1.9391611692568062e-7</x:v>
      </x:c>
      <x:c r="D63" s="1" t="n">
        <x:f>LOG10(MAX(ABS(B63),1E-30))</x:f>
        <x:v>-2.72415201532997</x:v>
      </x:c>
      <x:c r="E63" s="1" t="n">
        <x:f>LOG10(MAX(ABS(C63),1E-30))</x:f>
        <x:v>-6.71238609395891</x:v>
      </x:c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15" hidden="0" customHeight="1">
      <x:c r="A64" s="1" t="n">
        <x:v>-0.4300006</x:v>
      </x:c>
      <x:c r="B64" s="1" t="n">
        <x:v>-0.0018720941812469837</x:v>
      </x:c>
      <x:c r="C64" s="1" t="n">
        <x:v>-2.554003593922298e-7</x:v>
      </x:c>
      <x:c r="D64" s="1" t="n">
        <x:f>LOG10(MAX(ABS(B64),1E-30))</x:f>
        <x:v>-2.72767230657709</x:v>
      </x:c>
      <x:c r="E64" s="1" t="n">
        <x:f>LOG10(MAX(ABS(C64),1E-30))</x:f>
        <x:v>-6.59277849594515</x:v>
      </x:c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15" hidden="0" customHeight="1">
      <x:c r="A65" s="1" t="n">
        <x:v>-0.4199989</x:v>
      </x:c>
      <x:c r="B65" s="1" t="n">
        <x:v>-0.0018256478173656503</x:v>
      </x:c>
      <x:c r="C65" s="1" t="n">
        <x:v>-1.9233960586849558e-7</x:v>
      </x:c>
      <x:c r="D65" s="1" t="n">
        <x:f>LOG10(MAX(ABS(B65),1E-30))</x:f>
        <x:v>-2.73858299773629</x:v>
      </x:c>
      <x:c r="E65" s="1" t="n">
        <x:f>LOG10(MAX(ABS(C65),1E-30))</x:f>
        <x:v>-6.71593127822083</x:v>
      </x:c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15" hidden="0" customHeight="1">
      <x:c r="A66" s="1" t="n">
        <x:v>-0.4099998</x:v>
      </x:c>
      <x:c r="B66" s="1" t="n">
        <x:v>-0.0017785620042907386</x:v>
      </x:c>
      <x:c r="C66" s="1" t="n">
        <x:v>-1.876100444027284e-7</x:v>
      </x:c>
      <x:c r="D66" s="1" t="n">
        <x:f>LOG10(MAX(ABS(B66),1E-30))</x:f>
        <x:v>-2.74993098982488</x:v>
      </x:c>
      <x:c r="E66" s="1" t="n">
        <x:f>LOG10(MAX(ABS(C66),1E-30))</x:f>
        <x:v>-6.72674391376131</x:v>
      </x:c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15" hidden="0" customHeight="1">
      <x:c r="A67" s="1" t="n">
        <x:v>-0.3999994</x:v>
      </x:c>
      <x:c r="B67" s="1" t="n">
        <x:v>-0.001729351295886725</x:v>
      </x:c>
      <x:c r="C67" s="1" t="n">
        <x:v>-2.522472523952234e-7</x:v>
      </x:c>
      <x:c r="D67" s="1" t="n">
        <x:f>LOG10(MAX(ABS(B67),1E-30))</x:f>
        <x:v>-2.76211677632229</x:v>
      </x:c>
      <x:c r="E67" s="1" t="n">
        <x:f>LOG10(MAX(ABS(C67),1E-30))</x:f>
        <x:v>-6.59817355562065</x:v>
      </x:c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15" hidden="0" customHeight="1">
      <x:c r="A68" s="1" t="n">
        <x:v>-0.3900003</x:v>
      </x:c>
      <x:c r="B68" s="1" t="n">
        <x:v>-0.0017120649470010367</x:v>
      </x:c>
      <x:c r="C68" s="1" t="n">
        <x:v>-1.7972746082259118e-7</x:v>
      </x:c>
      <x:c r="D68" s="1" t="n">
        <x:f>LOG10(MAX(ABS(B68),1E-30))</x:f>
        <x:v>-2.76647976443155</x:v>
      </x:c>
      <x:c r="E68" s="1" t="n">
        <x:f>LOG10(MAX(ABS(C68),1E-30))</x:f>
        <x:v>-6.74538556132969</x:v>
      </x:c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15" hidden="0" customHeight="1">
      <x:c r="A69" s="1" t="n">
        <x:v>-0.3800012</x:v>
      </x:c>
      <x:c r="B69" s="1" t="n">
        <x:v>-0.0016629928802363385</x:v>
      </x:c>
      <x:c r="C69" s="1" t="n">
        <x:v>-2.4121167499492825e-7</x:v>
      </x:c>
      <x:c r="D69" s="1" t="n">
        <x:f>LOG10(MAX(ABS(B69),1E-30))</x:f>
        <x:v>-2.77910961011944</x:v>
      </x:c>
      <x:c r="E69" s="1" t="n">
        <x:f>LOG10(MAX(ABS(C69),1E-30))</x:f>
        <x:v>-6.61760167554032</x:v>
      </x:c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15" hidden="0" customHeight="1">
      <x:c r="A70" s="1" t="n">
        <x:v>-0.3700001</x:v>
      </x:c>
      <x:c r="B70" s="1" t="n">
        <x:v>-0.0016164149482687158</x:v>
      </x:c>
      <x:c r="C70" s="1" t="n">
        <x:v>-1.5923271804944347e-7</x:v>
      </x:c>
      <x:c r="D70" s="1" t="n">
        <x:f>LOG10(MAX(ABS(B70),1E-30))</x:f>
        <x:v>-2.79144714194592</x:v>
      </x:c>
      <x:c r="E70" s="1" t="n">
        <x:f>LOG10(MAX(ABS(C70),1E-30))</x:f>
        <x:v>-6.79796769157058</x:v>
      </x:c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 ht="15" hidden="0" customHeight="1">
      <x:c r="A71" s="1" t="n">
        <x:v>-0.359999</x:v>
      </x:c>
      <x:c r="B71" s="1" t="n">
        <x:v>-0.0015740189008502453</x:v>
      </x:c>
      <x:c r="C71" s="1" t="n">
        <x:v>-1.986456783914478e-7</x:v>
      </x:c>
      <x:c r="D71" s="1" t="n">
        <x:f>LOG10(MAX(ABS(B71),1E-30))</x:f>
        <x:v>-2.80299005692887</x:v>
      </x:c>
      <x:c r="E71" s="1" t="n">
        <x:f>LOG10(MAX(ABS(C71),1E-30))</x:f>
        <x:v>-6.70192087873931</x:v>
      </x:c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 ht="15" hidden="0" customHeight="1">
      <x:c r="A72" s="1" t="n">
        <x:v>-0.3500006</x:v>
      </x:c>
      <x:c r="B72" s="1" t="n">
        <x:v>-0.0015407901781538682</x:v>
      </x:c>
      <x:c r="C72" s="1" t="n">
        <x:v>-2.5067084036778074e-7</x:v>
      </x:c>
      <x:c r="D72" s="1" t="n">
        <x:f>LOG10(MAX(ABS(B72),1E-30))</x:f>
        <x:v>-2.8122564986432</x:v>
      </x:c>
      <x:c r="E72" s="1" t="n">
        <x:f>LOG10(MAX(ABS(C72),1E-30))</x:f>
        <x:v>-6.60089618300991</x:v>
      </x:c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 ht="15" hidden="0" customHeight="1">
      <x:c r="A73" s="1" t="n">
        <x:v>-0.3400002</x:v>
      </x:c>
      <x:c r="B73" s="1" t="n">
        <x:v>-0.0014995938053286595</x:v>
      </x:c>
      <x:c r="C73" s="1" t="n">
        <x:v>-1.4819708406072408e-7</x:v>
      </x:c>
      <x:c r="D73" s="1" t="n">
        <x:f>LOG10(MAX(ABS(B73),1E-30))</x:f>
        <x:v>-2.82402636227365</x:v>
      </x:c>
      <x:c r="E73" s="1" t="n">
        <x:f>LOG10(MAX(ABS(C73),1E-30))</x:f>
        <x:v>-6.82916034149026</x:v>
      </x:c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 ht="15" hidden="0" customHeight="1">
      <x:c r="A74" s="1" t="n">
        <x:v>-0.3299997</x:v>
      </x:c>
      <x:c r="B74" s="1" t="n">
        <x:v>-0.001458243229047477</x:v>
      </x:c>
      <x:c r="C74" s="1" t="n">
        <x:v>-1.4662057300353908e-7</x:v>
      </x:c>
      <x:c r="D74" s="1" t="n">
        <x:f>LOG10(MAX(ABS(B74),1E-30))</x:f>
        <x:v>-2.83617003142059</x:v>
      </x:c>
      <x:c r="E74" s="1" t="n">
        <x:f>LOG10(MAX(ABS(C74),1E-30))</x:f>
        <x:v>-6.83380508757315</x:v>
      </x:c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 ht="15" hidden="0" customHeight="1">
      <x:c r="A75" s="1" t="n">
        <x:v>-0.32</x:v>
      </x:c>
      <x:c r="B75" s="1" t="n">
        <x:v>-0.001420640221159632</x:v>
      </x:c>
      <x:c r="C75" s="1" t="n">
        <x:v>-1.9076308066420454e-7</x:v>
      </x:c>
      <x:c r="D75" s="1" t="n">
        <x:f>LOG10(MAX(ABS(B75),1E-30))</x:f>
        <x:v>-2.84751589374646</x:v>
      </x:c>
      <x:c r="E75" s="1" t="n">
        <x:f>LOG10(MAX(ABS(C75),1E-30))</x:f>
        <x:v>-6.71950567268888</x:v>
      </x:c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 ht="15" hidden="0" customHeight="1">
      <x:c r="A76" s="1" t="n">
        <x:v>-0.3099995</x:v>
      </x:c>
      <x:c r="B76" s="1" t="n">
        <x:v>-0.0013719055628742883</x:v>
      </x:c>
      <x:c r="C76" s="1" t="n">
        <x:v>-1.545031565836763e-7</x:v>
      </x:c>
      <x:c r="D76" s="1" t="n">
        <x:f>LOG10(MAX(ABS(B76),1E-30))</x:f>
        <x:v>-2.86267578289615</x:v>
      </x:c>
      <x:c r="E76" s="1" t="n">
        <x:f>LOG10(MAX(ABS(C76),1E-30))</x:f>
        <x:v>-6.8110626432756</x:v>
      </x:c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 ht="15" hidden="0" customHeight="1">
      <x:c r="A77" s="1" t="n">
        <x:v>-0.2999991</x:v>
      </x:c>
      <x:c r="B77" s="1" t="n">
        <x:v>-0.0013315229315892258</x:v>
      </x:c>
      <x:c r="C77" s="1" t="n">
        <x:v>-1.702683378910568e-7</x:v>
      </x:c>
      <x:c r="D77" s="1" t="n">
        <x:f>LOG10(MAX(ABS(B77),1E-30))</x:f>
        <x:v>-2.87565134970803</x:v>
      </x:c>
      <x:c r="E77" s="1" t="n">
        <x:f>LOG10(MAX(ABS(C77),1E-30))</x:f>
        <x:v>-6.76886610340333</x:v>
      </x:c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 ht="15" hidden="0" customHeight="1">
      <x:c r="A78" s="1" t="n">
        <x:v>-0.2900007</x:v>
      </x:c>
      <x:c r="B78" s="1" t="n">
        <x:v>-0.0012916749194418916</x:v>
      </x:c>
      <x:c r="C78" s="1" t="n">
        <x:v>-2.475177475178804e-7</x:v>
      </x:c>
      <x:c r="D78" s="1" t="n">
        <x:f>LOG10(MAX(ABS(B78),1E-30))</x:f>
        <x:v>-2.8888467730722</x:v>
      </x:c>
      <x:c r="E78" s="1" t="n">
        <x:f>LOG10(MAX(ABS(C78),1E-30))</x:f>
        <x:v>-6.60639365583041</x:v>
      </x:c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 ht="15" hidden="0" customHeight="1">
      <x:c r="A79" s="1" t="n">
        <x:v>-0.2800009</x:v>
      </x:c>
      <x:c r="B79" s="1" t="n">
        <x:v>-0.0012587761072586612</x:v>
      </x:c>
      <x:c r="C79" s="1" t="n">
        <x:v>-2.3963514979063715e-7</x:v>
      </x:c>
      <x:c r="D79" s="1" t="n">
        <x:f>LOG10(MAX(ABS(B79),1E-30))</x:f>
        <x:v>-2.9000515089938</x:v>
      </x:c>
      <x:c r="E79" s="1" t="n">
        <x:f>LOG10(MAX(ABS(C79),1E-30))</x:f>
        <x:v>-6.62044947910203</x:v>
      </x:c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 ht="15" hidden="0" customHeight="1">
      <x:c r="A80" s="1" t="n">
        <x:v>-0.2699998</x:v>
      </x:c>
      <x:c r="B80" s="1" t="n">
        <x:v>-0.0012066090781028326</x:v>
      </x:c>
      <x:c r="C80" s="1" t="n">
        <x:v>-2.207169322217805e-7</x:v>
      </x:c>
      <x:c r="D80" s="1" t="n">
        <x:f>LOG10(MAX(ABS(B80),1E-30))</x:f>
        <x:v>-2.9184334115282</x:v>
      </x:c>
      <x:c r="E80" s="1" t="n">
        <x:f>LOG10(MAX(ABS(C80),1E-30))</x:f>
        <x:v>-6.656164348812</x:v>
      </x:c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 ht="15" hidden="0" customHeight="1">
      <x:c r="A81" s="1" t="n">
        <x:v>-0.2600007</x:v>
      </x:c>
      <x:c r="B81" s="1" t="n">
        <x:v>-0.0011718610976874653</x:v>
      </x:c>
      <x:c r="C81" s="1" t="n">
        <x:v>-2.1598737075601333e-7</x:v>
      </x:c>
      <x:c r="D81" s="1" t="n">
        <x:f>LOG10(MAX(ABS(B81),1E-30))</x:f>
        <x:v>-2.93112386279138</x:v>
      </x:c>
      <x:c r="E81" s="1" t="n">
        <x:f>LOG10(MAX(ABS(C81),1E-30))</x:f>
        <x:v>-6.66557164223483</x:v>
      </x:c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 ht="15" hidden="0" customHeight="1">
      <x:c r="A82" s="1" t="n">
        <x:v>-0.2500003</x:v>
      </x:c>
      <x:c r="B82" s="1" t="n">
        <x:v>-0.0011219295942300708</x:v>
      </x:c>
      <x:c r="C82" s="1" t="n">
        <x:v>-1.4977360926501518e-7</x:v>
      </x:c>
      <x:c r="D82" s="1" t="n">
        <x:f>LOG10(MAX(ABS(B82),1E-30))</x:f>
        <x:v>-2.95003439601815</x:v>
      </x:c>
      <x:c r="E82" s="1" t="n">
        <x:f>LOG10(MAX(ABS(C82),1E-30))</x:f>
        <x:v>-6.82456470439548</x:v>
      </x:c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 ht="15" hidden="0" customHeight="1">
      <x:c r="A83" s="1" t="n">
        <x:v>-0.2400006</x:v>
      </x:c>
      <x:c r="B83" s="1" t="n">
        <x:v>-0.0010900933711824523</x:v>
      </x:c>
      <x:c r="C83" s="1" t="n">
        <x:v>-1.686918268338718e-7</x:v>
      </x:c>
      <x:c r="D83" s="1" t="n">
        <x:f>LOG10(MAX(ABS(B83),1E-30))</x:f>
        <x:v>-2.96253630127718</x:v>
      </x:c>
      <x:c r="E83" s="1" t="n">
        <x:f>LOG10(MAX(ABS(C83),1E-30))</x:f>
        <x:v>-6.77290595859011</x:v>
      </x:c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 ht="15" hidden="0" customHeight="1">
      <x:c r="A84" s="1" t="n">
        <x:v>-0.2300001</x:v>
      </x:c>
      <x:c r="B84" s="1" t="n">
        <x:v>-0.0010454448215382849</x:v>
      </x:c>
      <x:c r="C84" s="1" t="n">
        <x:v>-1.876100444027284e-7</x:v>
      </x:c>
      <x:c r="D84" s="1" t="n">
        <x:f>LOG10(MAX(ABS(B84),1E-30))</x:f>
        <x:v>-2.980698884256</x:v>
      </x:c>
      <x:c r="E84" s="1" t="n">
        <x:f>LOG10(MAX(ABS(C84),1E-30))</x:f>
        <x:v>-6.72674391376131</x:v>
      </x:c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 ht="15" hidden="0" customHeight="1">
      <x:c r="A85" s="1" t="n">
        <x:v>-0.2200004</x:v>
      </x:c>
      <x:c r="B85" s="1" t="n">
        <x:v>-0.0010076461591737322</x:v>
      </x:c>
      <x:c r="C85" s="1" t="n">
        <x:v>-1.6396226536810461e-7</x:v>
      </x:c>
      <x:c r="D85" s="1" t="n">
        <x:f>LOG10(MAX(ABS(B85),1E-30))</x:f>
        <x:v>-2.99669194616075</x:v>
      </x:c>
      <x:c r="E85" s="1" t="n">
        <x:f>LOG10(MAX(ABS(C85),1E-30))</x:f>
        <x:v>-6.78525608992817</x:v>
      </x:c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 ht="15" hidden="0" customHeight="1">
      <x:c r="A86" s="1" t="n">
        <x:v>-0.21</x:v>
      </x:c>
      <x:c r="B86" s="1" t="n">
        <x:v>-0.0009622677603283102</x:v>
      </x:c>
      <x:c r="C86" s="1" t="n">
        <x:v>-1.4819708406072408e-7</x:v>
      </x:c>
      <x:c r="D86" s="1" t="n">
        <x:f>LOG10(MAX(ABS(B86),1E-30))</x:f>
        <x:v>-3.01670406449796</x:v>
      </x:c>
      <x:c r="E86" s="1" t="n">
        <x:f>LOG10(MAX(ABS(C86),1E-30))</x:f>
        <x:v>-6.82916034149026</x:v>
      </x:c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 ht="15" hidden="0" customHeight="1">
      <x:c r="A87" s="1" t="n">
        <x:v>-0.2000009</x:v>
      </x:c>
      <x:c r="B87" s="1" t="n">
        <x:v>-0.0009222587541140972</x:v>
      </x:c>
      <x:c r="C87" s="1" t="n">
        <x:v>-1.608092291066285e-7</x:v>
      </x:c>
      <x:c r="D87" s="1" t="n">
        <x:f>LOG10(MAX(ABS(B87),1E-30))</x:f>
        <x:v>-3.03514721374236</x:v>
      </x:c>
      <x:c r="E87" s="1" t="n">
        <x:f>LOG10(MAX(ABS(C87),1E-30))</x:f>
        <x:v>-6.79368902999638</x:v>
      </x:c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 ht="15" hidden="0" customHeight="1">
      <x:c r="A88" s="1" t="n">
        <x:v>-0.1900004</x:v>
      </x:c>
      <x:c r="B88" s="1" t="n">
        <x:v>-0.0008745912120383024</x:v>
      </x:c>
      <x:c r="C88" s="1" t="n">
        <x:v>-1.608092291066285e-7</x:v>
      </x:c>
      <x:c r="D88" s="1" t="n">
        <x:f>LOG10(MAX(ABS(B88),1E-30))</x:f>
        <x:v>-3.05819489079455</x:v>
      </x:c>
      <x:c r="E88" s="1" t="n">
        <x:f>LOG10(MAX(ABS(C88),1E-30))</x:f>
        <x:v>-6.79368902999638</x:v>
      </x:c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 ht="15" hidden="0" customHeight="1">
      <x:c r="A89" s="1" t="n">
        <x:v>-0.1800007</x:v>
      </x:c>
      <x:c r="B89" s="1" t="n">
        <x:v>-0.000836924966586402</x:v>
      </x:c>
      <x:c r="C89" s="1" t="n">
        <x:v>-1.9076308066420454e-7</x:v>
      </x:c>
      <x:c r="D89" s="1" t="n">
        <x:f>LOG10(MAX(ABS(B89),1E-30))</x:f>
        <x:v>-3.0773134763654</x:v>
      </x:c>
      <x:c r="E89" s="1" t="n">
        <x:f>LOG10(MAX(ABS(C89),1E-30))</x:f>
        <x:v>-6.71950567268888</x:v>
      </x:c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 ht="15" hidden="0" customHeight="1">
      <x:c r="A90" s="1" t="n">
        <x:v>-0.1700009</x:v>
      </x:c>
      <x:c r="B90" s="1" t="n">
        <x:v>-0.0007897508755697222</x:v>
      </x:c>
      <x:c r="C90" s="1" t="n">
        <x:v>-1.2612583023039137e-7</x:v>
      </x:c>
      <x:c r="D90" s="1" t="n">
        <x:f>LOG10(MAX(ABS(B90),1E-30))</x:f>
        <x:v>-3.10250988393514</x:v>
      </x:c>
      <x:c r="E90" s="1" t="n">
        <x:f>LOG10(MAX(ABS(C90),1E-30))</x:f>
        <x:v>-6.8991959619777</x:v>
      </x:c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 ht="15" hidden="0" customHeight="1">
      <x:c r="A91" s="1" t="n">
        <x:v>-0.1600005</x:v>
      </x:c>
      <x:c r="B91" s="1" t="n">
        <x:v>-0.0007488275418913287</x:v>
      </x:c>
      <x:c r="C91" s="1" t="n">
        <x:v>-1.4189101153777187e-7</x:v>
      </x:c>
      <x:c r="D91" s="1" t="n">
        <x:f>LOG10(MAX(ABS(B91),1E-30))</x:f>
        <x:v>-3.12561819061683</x:v>
      </x:c>
      <x:c r="E91" s="1" t="n">
        <x:f>LOG10(MAX(ABS(C91),1E-30))</x:f>
        <x:v>-6.84804511520628</x:v>
      </x:c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 ht="15" hidden="0" customHeight="1">
      <x:c r="A92" s="1" t="n">
        <x:v>-0.1500001</x:v>
      </x:c>
      <x:c r="B92" s="1" t="n">
        <x:v>-0.0007047607212480447</x:v>
      </x:c>
      <x:c r="C92" s="1" t="n">
        <x:v>-1.74997899356824e-7</x:v>
      </x:c>
      <x:c r="D92" s="1" t="n">
        <x:f>LOG10(MAX(ABS(B92),1E-30))</x:f>
        <x:v>-3.15195830865473</x:v>
      </x:c>
      <x:c r="E92" s="1" t="n">
        <x:f>LOG10(MAX(ABS(C92),1E-30))</x:f>
        <x:v>-6.75696716447493</x:v>
      </x:c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 ht="15" hidden="0" customHeight="1">
      <x:c r="A93" s="1" t="n">
        <x:v>-0.140001</x:v>
      </x:c>
      <x:c r="B93" s="1" t="n">
        <x:v>-0.0006592293921861942</x:v>
      </x:c>
      <x:c r="C93" s="1" t="n">
        <x:v>-1.3243190275334355e-7</x:v>
      </x:c>
      <x:c r="D93" s="1" t="n">
        <x:f>LOG10(MAX(ABS(B93),1E-30))</x:f>
        <x:v>-3.18096343756745</x:v>
      </x:c>
      <x:c r="E93" s="1" t="n">
        <x:f>LOG10(MAX(ABS(C93),1E-30))</x:f>
        <x:v>-6.87800738105381</x:v>
      </x:c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 ht="15" hidden="0" customHeight="1">
      <x:c r="A94" s="1" t="n">
        <x:v>-0.1299999</x:v>
      </x:c>
      <x:c r="B94" s="1" t="n">
        <x:v>-0.0006187175978228714</x:v>
      </x:c>
      <x:c r="C94" s="1" t="n">
        <x:v>-1.08784126152022e-7</x:v>
      </x:c>
      <x:c r="D94" s="1" t="n">
        <x:f>LOG10(MAX(ABS(B94),1E-30))</x:f>
        <x:v>-3.20850753142031</x:v>
      </x:c>
      <x:c r="E94" s="1" t="n">
        <x:f>LOG10(MAX(ABS(C94),1E-30))</x:f>
        <x:v>-6.96343447253804</x:v>
      </x:c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 ht="15" hidden="0" customHeight="1">
      <x:c r="A95" s="1" t="n">
        <x:v>-0.1200008</x:v>
      </x:c>
      <x:c r="B95" s="1" t="n">
        <x:v>-0.0005723616339492142</x:v>
      </x:c>
      <x:c r="C95" s="1" t="n">
        <x:v>-1.3716146421911076e-7</x:v>
      </x:c>
      <x:c r="D95" s="1" t="n">
        <x:f>LOG10(MAX(ABS(B95),1E-30))</x:f>
        <x:v>-3.2423294851893</x:v>
      </x:c>
      <x:c r="E95" s="1" t="n">
        <x:f>LOG10(MAX(ABS(C95),1E-30))</x:f>
        <x:v>-6.86276788737391</x:v>
      </x:c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 ht="15" hidden="0" customHeight="1">
      <x:c r="A96" s="1" t="n">
        <x:v>-0.1099997</x:v>
      </x:c>
      <x:c r="B96" s="1" t="n">
        <x:v>-0.0005273756758256919</x:v>
      </x:c>
      <x:c r="C96" s="1" t="n">
        <x:v>-1.4189101153777187e-7</x:v>
      </x:c>
      <x:c r="D96" s="1" t="n">
        <x:f>LOG10(MAX(ABS(B96),1E-30))</x:f>
        <x:v>-3.27787990506646</x:v>
      </x:c>
      <x:c r="E96" s="1" t="n">
        <x:f>LOG10(MAX(ABS(C96),1E-30))</x:f>
        <x:v>-6.84804511520628</x:v>
      </x:c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 ht="15" hidden="0" customHeight="1">
      <x:c r="A97" s="1" t="n">
        <x:v>-0.09999994</x:v>
      </x:c>
      <x:c r="B97" s="1" t="n">
        <x:v>-0.0004807295548068955</x:v>
      </x:c>
      <x:c r="C97" s="1" t="n">
        <x:v>-1.2770234128757637e-7</x:v>
      </x:c>
      <x:c r="D97" s="1" t="n">
        <x:f>LOG10(MAX(ABS(B97),1E-30))</x:f>
        <x:v>-3.31809917702887</x:v>
      </x:c>
      <x:c r="E97" s="1" t="n">
        <x:f>LOG10(MAX(ABS(C97),1E-30))</x:f>
        <x:v>-6.89380114033287</x:v>
      </x:c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 ht="15" hidden="0" customHeight="1">
      <x:c r="A98" s="1" t="n">
        <x:v>-0.09000085</x:v>
      </x:c>
      <x:c r="B98" s="1" t="n">
        <x:v>-0.000436315988594262</x:v>
      </x:c>
      <x:c r="C98" s="1" t="n">
        <x:v>-1.3243190275334355e-7</x:v>
      </x:c>
      <x:c r="D98" s="1" t="n">
        <x:f>LOG10(MAX(ABS(B98),1E-30))</x:f>
        <x:v>-3.36019887220448</x:v>
      </x:c>
      <x:c r="E98" s="1" t="n">
        <x:f>LOG10(MAX(ABS(C98),1E-30))</x:f>
        <x:v>-6.87800738105381</x:v>
      </x:c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 ht="15" hidden="0" customHeight="1">
      <x:c r="A99" s="1" t="n">
        <x:v>-0.08000109</x:v>
      </x:c>
      <x:c r="B99" s="1" t="n">
        <x:v>-0.00038876346249067475</x:v>
      </x:c>
      <x:c r="C99" s="1" t="n">
        <x:v>-1.686918268338718e-7</x:v>
      </x:c>
      <x:c r="D99" s="1" t="n">
        <x:f>LOG10(MAX(ABS(B99),1E-30))</x:f>
        <x:v>-3.41031455852027</x:v>
      </x:c>
      <x:c r="E99" s="1" t="n">
        <x:f>LOG10(MAX(ABS(C99),1E-30))</x:f>
        <x:v>-6.77290595859011</x:v>
      </x:c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 ht="15" hidden="0" customHeight="1">
      <x:c r="A100" s="1" t="n">
        <x:v>-0.07000067</x:v>
      </x:c>
      <x:c r="B100" s="1" t="n">
        <x:v>-0.0003432256257600401</x:v>
      </x:c>
      <x:c r="C100" s="1" t="n">
        <x:v>-1.1824323674727989e-7</x:v>
      </x:c>
      <x:c r="D100" s="1" t="n">
        <x:f>LOG10(MAX(ABS(B100),1E-30))</x:f>
        <x:v>-3.46442029451007</x:v>
      </x:c>
      <x:c r="E100" s="1" t="n">
        <x:f>LOG10(MAX(ABS(C100),1E-30))</x:f>
        <x:v>-6.92722369056762</x:v>
      </x:c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  <x:row r="101" ht="15" hidden="0" customHeight="1">
      <x:c r="A101" s="1" t="n">
        <x:v>-0.06000024</x:v>
      </x:c>
      <x:c r="B101" s="1" t="n">
        <x:v>-0.0002973001583235638</x:v>
      </x:c>
      <x:c r="C101" s="1" t="n">
        <x:v>-6.621812711523934e-8</x:v>
      </x:c>
      <x:c r="D101" s="1" t="n">
        <x:f>LOG10(MAX(ABS(B101),1E-30))</x:f>
        <x:v>-3.52680485951678</x:v>
      </x:c>
      <x:c r="E101" s="1" t="n">
        <x:f>LOG10(MAX(ABS(C101),1E-30))</x:f>
        <x:v>-7.17902310680683</x:v>
      </x:c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</x:row>
    <x:row r="102" ht="15" hidden="0" customHeight="1">
      <x:c r="A102" s="1" t="n">
        <x:v>-0.05000048</x:v>
      </x:c>
      <x:c r="B102" s="1" t="n">
        <x:v>-0.0002505043609227308</x:v>
      </x:c>
      <x:c r="C102" s="1" t="n">
        <x:v>-1.1824323674727989e-7</x:v>
      </x:c>
      <x:c r="D102" s="1" t="n">
        <x:f>LOG10(MAX(ABS(B102),1E-30))</x:f>
        <x:v>-3.60118470928499</x:v>
      </x:c>
      <x:c r="E102" s="1" t="n">
        <x:f>LOG10(MAX(ABS(C102),1E-30))</x:f>
        <x:v>-6.92722369056762</x:v>
      </x:c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</x:row>
    <x:row r="103" ht="15" hidden="0" customHeight="1">
      <x:c r="A103" s="1" t="n">
        <x:v>-0.04000072</x:v>
      </x:c>
      <x:c r="B103" s="1" t="n">
        <x:v>-0.00020075889190992798</x:v>
      </x:c>
      <x:c r="C103" s="1" t="n">
        <x:v>-9.144241720704817e-8</x:v>
      </x:c>
      <x:c r="D103" s="1" t="n">
        <x:f>LOG10(MAX(ABS(B103),1E-30))</x:f>
        <x:v>-3.69732521007472</x:v>
      </x:c>
      <x:c r="E103" s="1" t="n">
        <x:f>LOG10(MAX(ABS(C103),1E-30))</x:f>
        <x:v>-7.0388523022343</x:v>
      </x:c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</x:row>
    <x:row r="104" ht="15" hidden="0" customHeight="1">
      <x:c r="A104" s="1" t="n">
        <x:v>-0.0300003</x:v>
      </x:c>
      <x:c r="B104" s="1" t="n">
        <x:v>-0.00015177963016093472</x:v>
      </x:c>
      <x:c r="C104" s="1" t="n">
        <x:v>-1.0090153447974013e-7</x:v>
      </x:c>
      <x:c r="D104" s="1" t="n">
        <x:f>LOG10(MAX(ABS(B104),1E-30))</x:f>
        <x:v>-3.81878650974691</x:v>
      </x:c>
      <x:c r="E104" s="1" t="n">
        <x:f>LOG10(MAX(ABS(C104),1E-30))</x:f>
        <x:v>-6.99610222909494</x:v>
      </x:c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</x:row>
    <x:row r="105" ht="15" hidden="0" customHeight="1">
      <x:c r="A105" s="1" t="n">
        <x:v>-0.02000121</x:v>
      </x:c>
      <x:c r="B105" s="1" t="n">
        <x:v>-0.0001019552910318886</x:v>
      </x:c>
      <x:c r="C105" s="1" t="n">
        <x:v>-3.311123929618723e-8</x:v>
      </x:c>
      <x:c r="D105" s="1" t="n">
        <x:f>LOG10(MAX(ABS(B105),1E-30))</x:f>
        <x:v>-3.99159023132451</x:v>
      </x:c>
      <x:c r="E105" s="1" t="n">
        <x:f>LOG10(MAX(ABS(C105),1E-30))</x:f>
        <x:v>-7.48002456405545</x:v>
      </x:c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</x:row>
    <x:row r="106" ht="15" hidden="0" customHeight="1">
      <x:c r="A106" s="1" t="n">
        <x:v>-0.009999447</x:v>
      </x:c>
      <x:c r="B106" s="1" t="n">
        <x:v>-0.000052162542390658</x:v>
      </x:c>
      <x:c r="C106" s="1" t="n">
        <x:v>-1.1039985465854514e-8</x:v>
      </x:c>
      <x:c r="D106" s="1" t="n">
        <x:f>LOG10(MAX(ABS(B106),1E-30))</x:f>
        <x:v>-4.28264124934429</x:v>
      </x:c>
      <x:c r="E106" s="1" t="n">
        <x:f>LOG10(MAX(ABS(C106),1E-30))</x:f>
        <x:v>-7.95703149835531</x:v>
      </x:c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</x:row>
    <x:row r="107" ht="15" hidden="0" customHeight="1">
      <x:c r="A107" s="1" t="n">
        <x:v>-3.555944e-7</x:v>
      </x:c>
      <x:c r="B107" s="1" t="n">
        <x:v>-1.8511383410141546e-9</x:v>
      </x:c>
      <x:c r="C107" s="1" t="n">
        <x:v>-4.351477135121206e-12</x:v>
      </x:c>
      <x:c r="D107" s="1" t="n">
        <x:f>LOG10(MAX(ABS(B107),1E-30))</x:f>
        <x:v>-8.73256112392997</x:v>
      </x:c>
      <x:c r="E107" s="1" t="n">
        <x:f>LOG10(MAX(ABS(C107),1E-30))</x:f>
        <x:v>-11.3613632941402</x:v>
      </x:c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</x:row>
    <x:row r="108" ht="15" hidden="0" customHeight="1">
      <x:c r="A108" s="1" t="n">
        <x:v>0.01000007</x:v>
      </x:c>
      <x:c r="B108" s="1" t="n">
        <x:v>0.00005205794295360872</x:v>
      </x:c>
      <x:c r="C108" s="1" t="n">
        <x:v>4.256160268502714e-8</x:v>
      </x:c>
      <x:c r="D108" s="1" t="n">
        <x:f>LOG10(MAX(ABS(B108),1E-30))</x:f>
        <x:v>-4.28351299684044</x:v>
      </x:c>
      <x:c r="E108" s="1" t="n">
        <x:f>LOG10(MAX(ABS(C108),1E-30))</x:f>
        <x:v>-7.37098202676192</x:v>
      </x:c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</x:row>
    <x:row r="109" ht="15" hidden="0" customHeight="1">
      <x:c r="A109" s="1" t="n">
        <x:v>0.0200005</x:v>
      </x:c>
      <x:c r="B109" s="1" t="n">
        <x:v>0.0001055413320334208</x:v>
      </x:c>
      <x:c r="C109" s="1" t="n">
        <x:v>1.135049539360046e-7</x:v>
      </x:c>
      <x:c r="D109" s="1" t="n">
        <x:f>LOG10(MAX(ABS(B109),1E-30))</x:f>
        <x:v>-3.976577428909</x:v>
      </x:c>
      <x:c r="E109" s="1" t="n">
        <x:f>LOG10(MAX(ABS(C109),1E-30))</x:f>
        <x:v>-6.94498518322752</x:v>
      </x:c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</x:row>
    <x:row r="110" ht="15" hidden="0" customHeight="1">
      <x:c r="A110" s="1" t="n">
        <x:v>0.02999959</x:v>
      </x:c>
      <x:c r="B110" s="1" t="n">
        <x:v>0.0001597972238392358</x:v>
      </x:c>
      <x:c r="C110" s="1" t="n">
        <x:v>1.923309312084375e-7</x:v>
      </x:c>
      <x:c r="D110" s="1" t="n">
        <x:f>LOG10(MAX(ABS(B110),1E-30))</x:f>
        <x:v>-3.79643076996429</x:v>
      </x:c>
      <x:c r="E110" s="1" t="n">
        <x:f>LOG10(MAX(ABS(C110),1E-30))</x:f>
        <x:v>-6.71595086566845</x:v>
      </x:c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</x:row>
    <x:row r="111" ht="15" hidden="0" customHeight="1">
      <x:c r="A111" s="1" t="n">
        <x:v>0.04000068</x:v>
      </x:c>
      <x:c r="B111" s="1" t="n">
        <x:v>0.00021836015964145066</x:v>
      </x:c>
      <x:c r="C111" s="1" t="n">
        <x:v>3.105697556460262e-7</x:v>
      </x:c>
      <x:c r="D111" s="1" t="n">
        <x:f>LOG10(MAX(ABS(B111),1E-30))</x:f>
        <x:v>-3.66082659685657</x:v>
      </x:c>
      <x:c r="E111" s="1" t="n">
        <x:f>LOG10(MAX(ABS(C111),1E-30))</x:f>
        <x:v>-6.50784083964282</x:v>
      </x:c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</x:row>
    <x:row r="112" ht="15" hidden="0" customHeight="1">
      <x:c r="A112" s="1" t="n">
        <x:v>0.05000044</x:v>
      </x:c>
      <x:c r="B112" s="1" t="n">
        <x:v>0.000276511556128595</x:v>
      </x:c>
      <x:c r="C112" s="1" t="n">
        <x:v>4.3196168708062133e-7</x:v>
      </x:c>
      <x:c r="D112" s="1" t="n">
        <x:f>LOG10(MAX(ABS(B112),1E-30))</x:f>
        <x:v>-3.55828671369742</x:v>
      </x:c>
      <x:c r="E112" s="1" t="n">
        <x:f>LOG10(MAX(ABS(C112),1E-30))</x:f>
        <x:v>-6.36455477130396</x:v>
      </x:c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</x:row>
    <x:row r="113" ht="15" hidden="0" customHeight="1">
      <x:c r="A113" s="1" t="n">
        <x:v>0.05999953</x:v>
      </x:c>
      <x:c r="B113" s="1" t="n">
        <x:v>0.0003364950028495527</x:v>
      </x:c>
      <x:c r="C113" s="1" t="n">
        <x:v>6.999698400416204e-7</x:v>
      </x:c>
      <x:c r="D113" s="1" t="n">
        <x:f>LOG10(MAX(ABS(B113),1E-30))</x:f>
        <x:v>-3.47302138092285</x:v>
      </x:c>
      <x:c r="E113" s="1" t="n">
        <x:f>LOG10(MAX(ABS(C113),1E-30))</x:f>
        <x:v>-6.154920672251</x:v>
      </x:c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</x:row>
    <x:row r="114" ht="15" hidden="0" customHeight="1">
      <x:c r="A114" s="1" t="n">
        <x:v>0.06999929</x:v>
      </x:c>
      <x:c r="B114" s="1" t="n">
        <x:v>0.00039462588603292076</x:v>
      </x:c>
      <x:c r="C114" s="1" t="n">
        <x:v>9.332945233908521e-7</x:v>
      </x:c>
      <x:c r="D114" s="1" t="n">
        <x:f>LOG10(MAX(ABS(B114),1E-30))</x:f>
        <x:v>-3.40381442999988</x:v>
      </x:c>
      <x:c r="E114" s="1" t="n">
        <x:f>LOG10(MAX(ABS(C114),1E-30))</x:f>
        <x:v>-6.02998128262134</x:v>
      </x:c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</x:row>
    <x:row r="115" ht="15" hidden="0" customHeight="1">
      <x:c r="A115" s="1" t="n">
        <x:v>0.08000105</x:v>
      </x:c>
      <x:c r="B115" s="1" t="n">
        <x:v>0.0004607609188787361</x:v>
      </x:c>
      <x:c r="C115" s="1" t="n">
        <x:v>0.0000014456635171327261</x:v>
      </x:c>
      <x:c r="D115" s="1" t="n">
        <x:f>LOG10(MAX(ABS(B115),1E-30))</x:f>
        <x:v>-3.33652436429642</x:v>
      </x:c>
      <x:c r="E115" s="1" t="n">
        <x:f>LOG10(MAX(ABS(C115),1E-30))</x:f>
        <x:v>-5.83993277872725</x:v>
      </x:c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</x:row>
    <x:row r="116" ht="15" hidden="0" customHeight="1">
      <x:c r="A116" s="1" t="n">
        <x:v>0.09000014</x:v>
      </x:c>
      <x:c r="B116" s="1" t="n">
        <x:v>0.0005227526887749228</x:v>
      </x:c>
      <x:c r="C116" s="1" t="n">
        <x:v>0.0000020746933671030805</x:v>
      </x:c>
      <x:c r="D116" s="1" t="n">
        <x:f>LOG10(MAX(ABS(B116),1E-30))</x:f>
        <x:v>-3.28170372471381</x:v>
      </x:c>
      <x:c r="E116" s="1" t="n">
        <x:f>LOG10(MAX(ABS(C116),1E-30))</x:f>
        <x:v>-5.68304608151362</x:v>
      </x:c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</x:row>
    <x:row r="117" ht="15" hidden="0" customHeight="1">
      <x:c r="A117" s="1" t="n">
        <x:v>0.0999999</x:v>
      </x:c>
      <x:c r="B117" s="1" t="n">
        <x:v>0.0005932687974231114</x:v>
      </x:c>
      <x:c r="C117" s="1" t="n">
        <x:v>0.0000028582237622740203</x:v>
      </x:c>
      <x:c r="D117" s="1" t="n">
        <x:f>LOG10(MAX(ABS(B117),1E-30))</x:f>
        <x:v>-3.22674849249065</x:v>
      </x:c>
      <x:c r="E117" s="1" t="n">
        <x:f>LOG10(MAX(ABS(C117),1E-30))</x:f>
        <x:v>-5.54390377452446</x:v>
      </x:c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</x:row>
    <x:row r="118" ht="15" hidden="0" customHeight="1">
      <x:c r="A118" s="1" t="n">
        <x:v>0.1099997</x:v>
      </x:c>
      <x:c r="B118" s="1" t="n">
        <x:v>0.0006632867864671874</x:v>
      </x:c>
      <x:c r="C118" s="1" t="n">
        <x:v>0.000004160428091941302</x:v>
      </x:c>
      <x:c r="D118" s="1" t="n">
        <x:f>LOG10(MAX(ABS(B118),1E-30))</x:f>
        <x:v>-3.17829865432464</x:v>
      </x:c>
      <x:c r="E118" s="1" t="n">
        <x:f>LOG10(MAX(ABS(C118),1E-30))</x:f>
        <x:v>-5.38086197985345</x:v>
      </x:c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</x:row>
    <x:row r="119" ht="15" hidden="0" customHeight="1">
      <x:c r="A119" s="1" t="n">
        <x:v>0.1200001</x:v>
      </x:c>
      <x:c r="B119" s="1" t="n">
        <x:v>0.0007372160259216292</x:v>
      </x:c>
      <x:c r="C119" s="1" t="n">
        <x:v>0.000005904057498215239</x:v>
      </x:c>
      <x:c r="D119" s="1" t="n">
        <x:f>LOG10(MAX(ABS(B119),1E-30))</x:f>
        <x:v>-3.13240523246859</x:v>
      </x:c>
      <x:c r="E119" s="1" t="n">
        <x:f>LOG10(MAX(ABS(C119),1E-30))</x:f>
        <x:v>-5.2288494216735</x:v>
      </x:c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</x:row>
    <x:row r="120" ht="15" hidden="0" customHeight="1">
      <x:c r="A120" s="1" t="n">
        <x:v>0.1300005</x:v>
      </x:c>
      <x:c r="B120" s="1" t="n">
        <x:v>0.0008089900952400162</x:v>
      </x:c>
      <x:c r="C120" s="1" t="n">
        <x:v>0.000008387074084644148</x:v>
      </x:c>
      <x:c r="D120" s="1" t="n">
        <x:f>LOG10(MAX(ABS(B120),1E-30))</x:f>
        <x:v>-3.09205679558048</x:v>
      </x:c>
      <x:c r="E120" s="1" t="n">
        <x:f>LOG10(MAX(ABS(C120),1E-30))</x:f>
        <x:v>-5.07638952075862</x:v>
      </x:c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</x:row>
    <x:row r="121" ht="15" hidden="0" customHeight="1">
      <x:c r="A121" s="1" t="n">
        <x:v>0.1399989</x:v>
      </x:c>
      <x:c r="B121" s="1" t="n">
        <x:v>0.0008852431383346602</x:v>
      </x:c>
      <x:c r="C121" s="1" t="n">
        <x:v>0.000011663078406640167</x:v>
      </x:c>
      <x:c r="D121" s="1" t="n">
        <x:f>LOG10(MAX(ABS(B121),1E-30))</x:f>
        <x:v>-3.05293743084485</x:v>
      </x:c>
      <x:c r="E121" s="1" t="n">
        <x:f>LOG10(MAX(ABS(C121),1E-30))</x:f>
        <x:v>-4.93318680476028</x:v>
      </x:c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</x:row>
    <x:row r="122" ht="15" hidden="0" customHeight="1">
      <x:c r="A122" s="1" t="n">
        <x:v>0.1500007</x:v>
      </x:c>
      <x:c r="B122" s="1" t="n">
        <x:v>0.0009660508422229431</x:v>
      </x:c>
      <x:c r="C122" s="1" t="n">
        <x:v>0.000016726858179347303</x:v>
      </x:c>
      <x:c r="D122" s="1" t="n">
        <x:f>LOG10(MAX(ABS(B122),1E-30))</x:f>
        <x:v>-3.01500001652879</x:v>
      </x:c>
      <x:c r="E122" s="1" t="n">
        <x:f>LOG10(MAX(ABS(C122),1E-30))</x:f>
        <x:v>-4.77658562529641</x:v>
      </x:c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</x:row>
    <x:row r="123" ht="15" hidden="0" customHeight="1">
      <x:c r="A123" s="1" t="n">
        <x:v>0.1599998</x:v>
      </x:c>
      <x:c r="B123" s="1" t="n">
        <x:v>0.001052618964753729</x:v>
      </x:c>
      <x:c r="C123" s="1" t="n">
        <x:v>0.000024049782244043167</x:v>
      </x:c>
      <x:c r="D123" s="1" t="n">
        <x:f>LOG10(MAX(ABS(B123),1E-30))</x:f>
        <x:v>-2.97772880968099</x:v>
      </x:c>
      <x:c r="E123" s="1" t="n">
        <x:f>LOG10(MAX(ABS(C123),1E-30))</x:f>
        <x:v>-4.61888885154123</x:v>
      </x:c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</x:row>
    <x:row r="124" ht="15" hidden="0" customHeight="1">
      <x:c r="A124" s="1" t="n">
        <x:v>0.1699995</x:v>
      </x:c>
      <x:c r="B124" s="1" t="n">
        <x:v>0.0011372008335947279</x:v>
      </x:c>
      <x:c r="C124" s="1" t="n">
        <x:v>0.000033004405226635306</x:v>
      </x:c>
      <x:c r="D124" s="1" t="n">
        <x:f>LOG10(MAX(ABS(B124),1E-30))</x:f>
        <x:v>-2.9441628306335</x:v>
      </x:c>
      <x:c r="E124" s="1" t="n">
        <x:f>LOG10(MAX(ABS(C124),1E-30))</x:f>
        <x:v>-4.48142808927561</x:v>
      </x:c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</x:row>
    <x:row r="125" ht="15" hidden="0" customHeight="1">
      <x:c r="A125" s="1" t="n">
        <x:v>0.1799993</x:v>
      </x:c>
      <x:c r="B125" s="1" t="n">
        <x:v>0.0012276724256275507</x:v>
      </x:c>
      <x:c r="C125" s="1" t="n">
        <x:v>0.000046378018255821614</x:v>
      </x:c>
      <x:c r="D125" s="1" t="n">
        <x:f>LOG10(MAX(ABS(B125),1E-30))</x:f>
        <x:v>-2.91091749860241</x:v>
      </x:c>
      <x:c r="E125" s="1" t="n">
        <x:f>LOG10(MAX(ABS(C125),1E-30))</x:f>
        <x:v>-4.33368781281207</x:v>
      </x:c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</x:row>
    <x:row r="126" ht="15" hidden="0" customHeight="1">
      <x:c r="A126" s="1" t="n">
        <x:v>0.1899991</x:v>
      </x:c>
      <x:c r="B126" s="1" t="n">
        <x:v>0.0013206996923687778</x:v>
      </x:c>
      <x:c r="C126" s="1" t="n">
        <x:v>0.00006508340676122271</x:v>
      </x:c>
      <x:c r="D126" s="1" t="n">
        <x:f>LOG10(MAX(ABS(B126),1E-30))</x:f>
        <x:v>-2.87919592331962</x:v>
      </x:c>
      <x:c r="E126" s="1" t="n">
        <x:f>LOG10(MAX(ABS(C126),1E-30))</x:f>
        <x:v>-4.18652972219374</x:v>
      </x:c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</x:row>
    <x:row r="127" ht="15" hidden="0" customHeight="1">
      <x:c r="A127" s="1" t="n">
        <x:v>0.1999995</x:v>
      </x:c>
      <x:c r="B127" s="1" t="n">
        <x:v>0.0014080876396953127</x:v>
      </x:c>
      <x:c r="C127" s="1" t="n">
        <x:v>0.00009092885383848361</x:v>
      </x:c>
      <x:c r="D127" s="1" t="n">
        <x:f>LOG10(MAX(ABS(B127),1E-30))</x:f>
        <x:v>-2.85137031376523</x:v>
      </x:c>
      <x:c r="E127" s="1" t="n">
        <x:f>LOG10(MAX(ABS(C127),1E-30))</x:f>
        <x:v>-4.04129828317599</x:v>
      </x:c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</x:row>
    <x:row r="128" ht="15" hidden="0" customHeight="1">
      <x:c r="A128" s="1" t="n">
        <x:v>0.2100006</x:v>
      </x:c>
      <x:c r="B128" s="1" t="n">
        <x:v>0.001507226456251269</x:v>
      </x:c>
      <x:c r="C128" s="1" t="n">
        <x:v>0.00012595592836205688</x:v>
      </x:c>
      <x:c r="D128" s="1" t="n">
        <x:f>LOG10(MAX(ABS(B128),1E-30))</x:f>
        <x:v>-2.82182149134054</x:v>
      </x:c>
      <x:c r="E128" s="1" t="n">
        <x:f>LOG10(MAX(ABS(C128),1E-30))</x:f>
        <x:v>-3.89978138676582</x:v>
      </x:c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</x:row>
    <x:row r="129" ht="15" hidden="0" customHeight="1">
      <x:c r="A129" s="1" t="n">
        <x:v>0.2199997</x:v>
      </x:c>
      <x:c r="B129" s="1" t="n">
        <x:v>0.0016129491944930504</x:v>
      </x:c>
      <x:c r="C129" s="1" t="n">
        <x:v>0.00017458997242915432</x:v>
      </x:c>
      <x:c r="D129" s="1" t="n">
        <x:f>LOG10(MAX(ABS(B129),1E-30))</x:f>
        <x:v>-2.79237931202754</x:v>
      </x:c>
      <x:c r="E129" s="1" t="n">
        <x:f>LOG10(MAX(ABS(C129),1E-30))</x:f>
        <x:v>-3.75798070360722</x:v>
      </x:c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</x:row>
    <x:row r="130" ht="15" hidden="0" customHeight="1">
      <x:c r="A130" s="1" t="n">
        <x:v>0.2299994</x:v>
      </x:c>
      <x:c r="B130" s="1" t="n">
        <x:v>0.00171554966642902</x:v>
      </x:c>
      <x:c r="C130" s="1" t="n">
        <x:v>0.000237743644145442</x:v>
      </x:c>
      <x:c r="D130" s="1" t="n">
        <x:f>LOG10(MAX(ABS(B130),1E-30))</x:f>
        <x:v>-2.76559670428002</x:v>
      </x:c>
      <x:c r="E130" s="1" t="n">
        <x:f>LOG10(MAX(ABS(C130),1E-30))</x:f>
        <x:v>-3.62389108469322</x:v>
      </x:c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</x:row>
    <x:row r="131" ht="15" hidden="0" customHeight="1">
      <x:c r="A131" s="1" t="n">
        <x:v>0.2399992</x:v>
      </x:c>
      <x:c r="B131" s="1" t="n">
        <x:v>0.001822124060455169</x:v>
      </x:c>
      <x:c r="C131" s="1" t="n">
        <x:v>0.0003197951615978706</x:v>
      </x:c>
      <x:c r="D131" s="1" t="n">
        <x:f>LOG10(MAX(ABS(B131),1E-30))</x:f>
        <x:v>-2.7394220571452</x:v>
      </x:c>
      <x:c r="E131" s="1" t="n">
        <x:f>LOG10(MAX(ABS(C131),1E-30))</x:f>
        <x:v>-3.4951281112816</x:v>
      </x:c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</x:row>
    <x:row r="132" ht="15" hidden="0" customHeight="1">
      <x:c r="A132" s="1" t="n">
        <x:v>0.2500003</x:v>
      </x:c>
      <x:c r="B132" s="1" t="n">
        <x:v>0.0019355145301774668</x:v>
      </x:c>
      <x:c r="C132" s="1" t="n">
        <x:v>0.00043069687242339275</x:v>
      </x:c>
      <x:c r="D132" s="1" t="n">
        <x:f>LOG10(MAX(ABS(B132),1E-30))</x:f>
        <x:v>-2.71320356402355</x:v>
      </x:c>
      <x:c r="E132" s="1" t="n">
        <x:f>LOG10(MAX(ABS(C132),1E-30))</x:f>
        <x:v>-3.36582828192719</x:v>
      </x:c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</x:row>
    <x:row r="133" ht="15" hidden="0" customHeight="1">
      <x:c r="A133" s="1" t="n">
        <x:v>0.2599987</x:v>
      </x:c>
      <x:c r="B133" s="1" t="n">
        <x:v>0.0020463005176754785</x:v>
      </x:c>
      <x:c r="C133" s="1" t="n">
        <x:v>0.0005726797752465054</x:v>
      </x:c>
      <x:c r="D133" s="1" t="n">
        <x:f>LOG10(MAX(ABS(B133),1E-30))</x:f>
        <x:v>-2.68903058588085</x:v>
      </x:c>
      <x:c r="E133" s="1" t="n">
        <x:f>LOG10(MAX(ABS(C133),1E-30))</x:f>
        <x:v>-3.24208815415564</x:v>
      </x:c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</x:row>
    <x:row r="134" ht="15" hidden="0" customHeight="1">
      <x:c r="A134" s="1" t="n">
        <x:v>0.2699998</x:v>
      </x:c>
      <x:c r="B134" s="1" t="n">
        <x:v>0.0021717344187803657</x:v>
      </x:c>
      <x:c r="C134" s="1" t="n">
        <x:v>0.0007448245911159099</x:v>
      </x:c>
      <x:c r="D134" s="1" t="n">
        <x:f>LOG10(MAX(ABS(B134),1E-30))</x:f>
        <x:v>-2.66319328567177</x:v>
      </x:c>
      <x:c r="E134" s="1" t="n">
        <x:f>LOG10(MAX(ABS(C134),1E-30))</x:f>
        <x:v>-3.12794599313085</x:v>
      </x:c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</x:row>
    <x:row r="135" ht="15" hidden="0" customHeight="1">
      <x:c r="A135" s="1" t="n">
        <x:v>0.2799996</x:v>
      </x:c>
      <x:c r="B135" s="1" t="n">
        <x:v>0.0022906705540752877</x:v>
      </x:c>
      <x:c r="C135" s="1" t="n">
        <x:v>0.0009571437928692824</x:v>
      </x:c>
      <x:c r="D135" s="1" t="n">
        <x:f>LOG10(MAX(ABS(B135),1E-30))</x:f>
        <x:v>-2.64003736687144</x:v>
      </x:c>
      <x:c r="E135" s="1" t="n">
        <x:f>LOG10(MAX(ABS(C135),1E-30))</x:f>
        <x:v>-3.01902281273666</x:v>
      </x:c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</x:row>
    <x:row r="136" ht="15" hidden="0" customHeight="1">
      <x:c r="A136" s="1" t="n">
        <x:v>0.2899993</x:v>
      </x:c>
      <x:c r="B136" s="1" t="n">
        <x:v>0.0024193766808101444</x:v>
      </x:c>
      <x:c r="C136" s="1" t="n">
        <x:v>0.0012036261336738072</x:v>
      </x:c>
      <x:c r="D136" s="1" t="n">
        <x:f>LOG10(MAX(ABS(B136),1E-30))</x:f>
        <x:v>-2.61629650962007</x:v>
      </x:c>
      <x:c r="E136" s="1" t="n">
        <x:f>LOG10(MAX(ABS(C136),1E-30))</x:f>
        <x:v>-2.9195083912318</x:v>
      </x:c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</x:row>
    <x:row r="137" ht="15" hidden="0" customHeight="1">
      <x:c r="A137" s="1" t="n">
        <x:v>0.3000004</x:v>
      </x:c>
      <x:c r="B137" s="1" t="n">
        <x:v>0.0025557279036558327</x:v>
      </x:c>
      <x:c r="C137" s="1" t="n">
        <x:v>0.001495199404128765</x:v>
      </x:c>
      <x:c r="D137" s="1" t="n">
        <x:f>LOG10(MAX(ABS(B137),1E-30))</x:f>
        <x:v>-2.59248538534583</x:v>
      </x:c>
      <x:c r="E137" s="1" t="n">
        <x:f>LOG10(MAX(ABS(C137),1E-30))</x:f>
        <x:v>-2.8253008847055</x:v>
      </x:c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</x:row>
    <x:row r="138" ht="15" hidden="0" customHeight="1">
      <x:c r="A138" s="1" t="n">
        <x:v>0.3100002</x:v>
      </x:c>
      <x:c r="B138" s="1" t="n">
        <x:v>0.00268538613062803</x:v>
      </x:c>
      <x:c r="C138" s="1" t="n">
        <x:v>0.0018307546125906906</x:v>
      </x:c>
      <x:c r="D138" s="1" t="n">
        <x:f>LOG10(MAX(ABS(B138),1E-30))</x:f>
        <x:v>-2.57099325843962</x:v>
      </x:c>
      <x:c r="E138" s="1" t="n">
        <x:f>LOG10(MAX(ABS(C138),1E-30))</x:f>
        <x:v>-2.73736986298373</x:v>
      </x:c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</x:row>
    <x:row r="139" ht="15" hidden="0" customHeight="1">
      <x:c r="A139" s="1" t="n">
        <x:v>0.3199993</x:v>
      </x:c>
      <x:c r="B139" s="1" t="n">
        <x:v>0.0028293965966906033</x:v>
      </x:c>
      <x:c r="C139" s="1" t="n">
        <x:v>0.002203661010452725</x:v>
      </x:c>
      <x:c r="D139" s="1" t="n">
        <x:f>LOG10(MAX(ABS(B139),1E-30))</x:f>
        <x:v>-2.54830617319261</x:v>
      </x:c>
      <x:c r="E139" s="1" t="n">
        <x:f>LOG10(MAX(ABS(C139),1E-30))</x:f>
        <x:v>-2.65685521227613</x:v>
      </x:c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</x:row>
    <x:row r="140" ht="15" hidden="0" customHeight="1">
      <x:c r="A140" s="1" t="n">
        <x:v>0.3299997</x:v>
      </x:c>
      <x:c r="B140" s="1" t="n">
        <x:v>0.002962891518824269</x:v>
      </x:c>
      <x:c r="C140" s="1" t="n">
        <x:v>0.0026090859462872956</x:v>
      </x:c>
      <x:c r="D140" s="1" t="n">
        <x:f>LOG10(MAX(ABS(B140),1E-30))</x:f>
        <x:v>-2.52828424917418</x:v>
      </x:c>
      <x:c r="E140" s="1" t="n">
        <x:f>LOG10(MAX(ABS(C140),1E-30))</x:f>
        <x:v>-2.58351161450517</x:v>
      </x:c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</x:row>
    <x:row r="141" ht="15" hidden="0" customHeight="1">
      <x:c r="A141" s="1" t="n">
        <x:v>0.3400001</x:v>
      </x:c>
      <x:c r="B141" s="1" t="n">
        <x:v>0.0031122580792383617</x:v>
      </x:c>
      <x:c r="C141" s="1" t="n">
        <x:v>0.0030487228286888994</x:v>
      </x:c>
      <x:c r="D141" s="1" t="n">
        <x:f>LOG10(MAX(ABS(B141),1E-30))</x:f>
        <x:v>-2.50692439698381</x:v>
      </x:c>
      <x:c r="E141" s="1" t="n">
        <x:f>LOG10(MAX(ABS(C141),1E-30))</x:f>
        <x:v>-2.51588205724912</x:v>
      </x:c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</x:row>
    <x:row r="142" ht="15" hidden="0" customHeight="1">
      <x:c r="A142" s="1" t="n">
        <x:v>0.3499999</x:v>
      </x:c>
      <x:c r="B142" s="1" t="n">
        <x:v>0.003258560376481458</x:v>
      </x:c>
      <x:c r="C142" s="1" t="n">
        <x:v>0.0035116571653379465</x:v>
      </x:c>
      <x:c r="D142" s="1" t="n">
        <x:f>LOG10(MAX(ABS(B142),1E-30))</x:f>
        <x:v>-2.4869742277358</x:v>
      </x:c>
      <x:c r="E142" s="1" t="n">
        <x:f>LOG10(MAX(ABS(C142),1E-30))</x:f>
        <x:v>-2.45448788982449</x:v>
      </x:c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</x:row>
    <x:row r="143" ht="15" hidden="0" customHeight="1">
      <x:c r="A143" s="1" t="n">
        <x:v>0.3599996</x:v>
      </x:c>
      <x:c r="B143" s="1" t="n">
        <x:v>0.0034021138910185324</x:v>
      </x:c>
      <x:c r="C143" s="1" t="n">
        <x:v>0.004022789277597641</x:v>
      </x:c>
      <x:c r="D143" s="1" t="n">
        <x:f>LOG10(MAX(ABS(B143),1E-30))</x:f>
        <x:v>-2.46825115180136</x:v>
      </x:c>
      <x:c r="E143" s="1" t="n">
        <x:f>LOG10(MAX(ABS(C143),1E-30))</x:f>
        <x:v>-2.39547271611713</x:v>
      </x:c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</x:row>
    <x:row r="144" ht="15" hidden="0" customHeight="1">
      <x:c r="A144" s="1" t="n">
        <x:v>0.37</x:v>
      </x:c>
      <x:c r="B144" s="1" t="n">
        <x:v>0.0035613890845118744</x:v>
      </x:c>
      <x:c r="C144" s="1" t="n">
        <x:v>0.004538333872235145</x:v>
      </x:c>
      <x:c r="D144" s="1" t="n">
        <x:f>LOG10(MAX(ABS(B144),1E-30))</x:f>
        <x:v>-2.44838057672571</x:v>
      </x:c>
      <x:c r="E144" s="1" t="n">
        <x:f>LOG10(MAX(ABS(C144),1E-30))</x:f>
        <x:v>-2.34310355747363</x:v>
      </x:c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</x:row>
    <x:row r="145" ht="15" hidden="0" customHeight="1">
      <x:c r="A145" s="1" t="n">
        <x:v>0.3799991</x:v>
      </x:c>
      <x:c r="B145" s="1" t="n">
        <x:v>0.0037366236283431697</x:v>
      </x:c>
      <x:c r="C145" s="1" t="n">
        <x:v>0.005089962075570443</x:v>
      </x:c>
      <x:c r="D145" s="1" t="n">
        <x:f>LOG10(MAX(ABS(B145),1E-30))</x:f>
        <x:v>-2.42752064428724</x:v>
      </x:c>
      <x:c r="E145" s="1" t="n">
        <x:f>LOG10(MAX(ABS(C145),1E-30))</x:f>
        <x:v>-2.29328545350447</x:v>
      </x:c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</x:row>
    <x:row r="146" ht="15" hidden="0" customHeight="1">
      <x:c r="A146" s="1" t="n">
        <x:v>0.3900009</x:v>
      </x:c>
      <x:c r="B146" s="1" t="n">
        <x:v>0.003872874406735885</x:v>
      </x:c>
      <x:c r="C146" s="1" t="n">
        <x:v>0.005649369772524075</x:v>
      </x:c>
      <x:c r="D146" s="1" t="n">
        <x:f>LOG10(MAX(ABS(B146),1E-30))</x:f>
        <x:v>-2.41196658650113</x:v>
      </x:c>
      <x:c r="E146" s="1" t="n">
        <x:f>LOG10(MAX(ABS(C146),1E-30))</x:f>
        <x:v>-2.24799999812417</x:v>
      </x:c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</x:row>
    <x:row r="147" ht="15" hidden="0" customHeight="1">
      <x:c r="A147" s="1" t="n">
        <x:v>0.3999993</x:v>
      </x:c>
      <x:c r="B147" s="1" t="n">
        <x:v>0.00404851497251089</x:v>
      </x:c>
      <x:c r="C147" s="1" t="n">
        <x:v>0.006234915662620513</x:v>
      </x:c>
      <x:c r="D147" s="1" t="n">
        <x:f>LOG10(MAX(ABS(B147),1E-30))</x:f>
        <x:v>-2.39270425024557</x:v>
      </x:c>
      <x:c r="E147" s="1" t="n">
        <x:f>LOG10(MAX(ABS(C147),1E-30))</x:f>
        <x:v>-2.20516941668524</x:v>
      </x:c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</x:row>
    <x:row r="148" ht="15" hidden="0" customHeight="1">
      <x:c r="A148" s="1" t="n">
        <x:v>0.4099991</x:v>
      </x:c>
      <x:c r="B148" s="1" t="n">
        <x:v>0.004207006416328918</x:v>
      </x:c>
      <x:c r="C148" s="1" t="n">
        <x:v>0.006845350556395312</x:v>
      </x:c>
      <x:c r="D148" s="1" t="n">
        <x:f>LOG10(MAX(ABS(B148),1E-30))</x:f>
        <x:v>-2.37602682561692</x:v>
      </x:c>
      <x:c r="E148" s="1" t="n">
        <x:f>LOG10(MAX(ABS(C148),1E-30))</x:f>
        <x:v>-2.16460430635983</x:v>
      </x:c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</x:row>
    <x:row r="149" ht="15" hidden="0" customHeight="1">
      <x:c r="A149" s="1" t="n">
        <x:v>0.4199995</x:v>
      </x:c>
      <x:c r="B149" s="1" t="n">
        <x:v>0.004391896360041121</x:v>
      </x:c>
      <x:c r="C149" s="1" t="n">
        <x:v>0.007450326081944409</x:v>
      </x:c>
      <x:c r="D149" s="1" t="n">
        <x:f>LOG10(MAX(ABS(B149),1E-30))</x:f>
        <x:v>-2.3573479169171</x:v>
      </x:c>
      <x:c r="E149" s="1" t="n">
        <x:f>LOG10(MAX(ABS(C149),1E-30))</x:f>
        <x:v>-2.12782471886379</x:v>
      </x:c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</x:row>
    <x:row r="150" ht="15" hidden="0" customHeight="1">
      <x:c r="A150" s="1" t="n">
        <x:v>0.4299993</x:v>
      </x:c>
      <x:c r="B150" s="1" t="n">
        <x:v>0.004554612129726459</x:v>
      </x:c>
      <x:c r="C150" s="1" t="n">
        <x:v>0.008090338330343406</x:v>
      </x:c>
      <x:c r="D150" s="1" t="n">
        <x:f>LOG10(MAX(ABS(B150),1E-30))</x:f>
        <x:v>-2.34154860158711</x:v>
      </x:c>
      <x:c r="E150" s="1" t="n">
        <x:f>LOG10(MAX(ABS(C150),1E-30))</x:f>
        <x:v>-2.092033316221</x:v>
      </x:c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</x:row>
    <x:row r="151" ht="15" hidden="0" customHeight="1">
      <x:c r="A151" s="1" t="n">
        <x:v>0.4400004</x:v>
      </x:c>
      <x:c r="B151" s="1" t="n">
        <x:v>0.004736794317340192</x:v>
      </x:c>
      <x:c r="C151" s="1" t="n">
        <x:v>0.008713371222058059</x:v>
      </x:c>
      <x:c r="D151" s="1" t="n">
        <x:f>LOG10(MAX(ABS(B151),1E-30))</x:f>
        <x:v>-2.3245154729422</x:v>
      </x:c>
      <x:c r="E151" s="1" t="n">
        <x:f>LOG10(MAX(ABS(C151),1E-30))</x:f>
        <x:v>-2.05981378300976</x:v>
      </x:c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</x:row>
    <x:row r="152" ht="15" hidden="0" customHeight="1">
      <x:c r="A152" s="1" t="n">
        <x:v>0.4500008</x:v>
      </x:c>
      <x:c r="B152" s="1" t="n">
        <x:v>0.004918611509617768</x:v>
      </x:c>
      <x:c r="C152" s="1" t="n">
        <x:v>0.009384419391715278</x:v>
      </x:c>
      <x:c r="D152" s="1" t="n">
        <x:f>LOG10(MAX(ABS(B152),1E-30))</x:f>
        <x:v>-2.3081574782929</x:v>
      </x:c>
      <x:c r="E152" s="1" t="n">
        <x:f>LOG10(MAX(ABS(C152),1E-30))</x:f>
        <x:v>-2.02759259174529</x:v>
      </x:c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</x:row>
    <x:row r="153" ht="15" hidden="0" customHeight="1">
      <x:c r="A153" s="1" t="n">
        <x:v>0.4600005</x:v>
      </x:c>
      <x:c r="B153" s="1" t="n">
        <x:v>0.005093219336650932</x:v>
      </x:c>
      <x:c r="C153" s="1" t="n">
        <x:v>0.010063092851534857</x:v>
      </x:c>
      <x:c r="D153" s="1" t="n">
        <x:f>LOG10(MAX(ABS(B153),1E-30))</x:f>
        <x:v>-2.29300762077138</x:v>
      </x:c>
      <x:c r="E153" s="1" t="n">
        <x:f>LOG10(MAX(ABS(C153),1E-30))</x:f>
        <x:v>-1.99726852008338</x:v>
      </x:c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</x:row>
    <x:row r="154" ht="15" hidden="0" customHeight="1">
      <x:c r="A154" s="1" t="n">
        <x:v>0.4700003</x:v>
      </x:c>
      <x:c r="B154" s="1" t="n">
        <x:v>0.005274080184559352</x:v>
      </x:c>
      <x:c r="C154" s="1" t="n">
        <x:v>0.010766031427655877</x:v>
      </x:c>
      <x:c r="D154" s="1" t="n">
        <x:f>LOG10(MAX(ABS(B154),1E-30))</x:f>
        <x:v>-2.27785327168954</x:v>
      </x:c>
      <x:c r="E154" s="1" t="n">
        <x:f>LOG10(MAX(ABS(C154),1E-30))</x:f>
        <x:v>-1.96794435674794</x:v>
      </x:c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</x:row>
    <x:row r="155" ht="15" hidden="0" customHeight="1">
      <x:c r="A155" s="1" t="n">
        <x:v>0.4800001</x:v>
      </x:c>
      <x:c r="B155" s="1" t="n">
        <x:v>0.005476852070322059</x:v>
      </x:c>
      <x:c r="C155" s="1" t="n">
        <x:v>0.011431303333911813</x:v>
      </x:c>
      <x:c r="D155" s="1" t="n">
        <x:f>LOG10(MAX(ABS(B155),1E-30))</x:f>
        <x:v>-2.26146898919911</x:v>
      </x:c>
      <x:c r="E155" s="1" t="n">
        <x:f>LOG10(MAX(ABS(C155),1E-30))</x:f>
        <x:v>-1.94190425092957</x:v>
      </x:c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</x:row>
    <x:row r="156" ht="15" hidden="0" customHeight="1">
      <x:c r="A156" s="1" t="n">
        <x:v>0.4899992</x:v>
      </x:c>
      <x:c r="B156" s="1" t="n">
        <x:v>0.005669737958375199</x:v>
      </x:c>
      <x:c r="C156" s="1" t="n">
        <x:v>0.012123456156378321</x:v>
      </x:c>
      <x:c r="D156" s="1" t="n">
        <x:f>LOG10(MAX(ABS(B156),1E-30))</x:f>
        <x:v>-2.2464370126876</x:v>
      </x:c>
      <x:c r="E156" s="1" t="n">
        <x:f>LOG10(MAX(ABS(C156),1E-30))</x:f>
        <x:v>-1.91637355379414</x:v>
      </x:c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</x:row>
    <x:row r="157" ht="15" hidden="0" customHeight="1">
      <x:c r="A157" s="1" t="n">
        <x:v>0.4999996</x:v>
      </x:c>
      <x:c r="B157" s="1" t="n">
        <x:v>0.005873668492123615</x:v>
      </x:c>
      <x:c r="C157" s="1" t="n">
        <x:v>0.01280220742528119</x:v>
      </x:c>
      <x:c r="D157" s="1" t="n">
        <x:f>LOG10(MAX(ABS(B157),1E-30))</x:f>
        <x:v>-2.23109056855619</x:v>
      </x:c>
      <x:c r="E157" s="1" t="n">
        <x:f>LOG10(MAX(ABS(C157),1E-30))</x:f>
        <x:v>-1.89271514051117</x:v>
      </x:c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</x:row>
    <x:row r="158" ht="15" hidden="0" customHeight="1">
      <x:c r="A158" s="1" t="n">
        <x:v>0.5099993</x:v>
      </x:c>
      <x:c r="B158" s="1" t="n">
        <x:v>0.0060704108812866964</x:v>
      </x:c>
      <x:c r="C158" s="1" t="n">
        <x:v>0.013487371577357707</x:v>
      </x:c>
      <x:c r="D158" s="1" t="n">
        <x:f>LOG10(MAX(ABS(B158),1E-30))</x:f>
        <x:v>-2.2167819123125</x:v>
      </x:c>
      <x:c r="E158" s="1" t="n">
        <x:f>LOG10(MAX(ABS(C158),1E-30))</x:f>
        <x:v>-1.87007267750906</x:v>
      </x:c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</x:row>
    <x:row r="159" ht="15" hidden="0" customHeight="1">
      <x:c r="A159" s="1" t="n">
        <x:v>0.5199991</x:v>
      </x:c>
      <x:c r="B159" s="1" t="n">
        <x:v>0.006276892138256399</x:v>
      </x:c>
      <x:c r="C159" s="1" t="n">
        <x:v>0.01422216094804558</x:v>
      </x:c>
      <x:c r="D159" s="1" t="n">
        <x:f>LOG10(MAX(ABS(B159),1E-30))</x:f>
        <x:v>-2.20225533417588</x:v>
      </x:c>
      <x:c r="E159" s="1" t="n">
        <x:f>LOG10(MAX(ABS(C159),1E-30))</x:f>
        <x:v>-1.84703441088401</x:v>
      </x:c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</x:row>
    <x:row r="160" ht="15" hidden="0" customHeight="1">
      <x:c r="A160" s="1" t="n">
        <x:v>0.5300002</x:v>
      </x:c>
      <x:c r="B160" s="1" t="n">
        <x:v>0.0064723216759777985</x:v>
      </x:c>
      <x:c r="C160" s="1" t="n">
        <x:v>0.014891220034591802</x:v>
      </x:c>
      <x:c r="D160" s="1" t="n">
        <x:f>LOG10(MAX(ABS(B160),1E-30))</x:f>
        <x:v>-2.18893990631691</x:v>
      </x:c>
      <x:c r="E160" s="1" t="n">
        <x:f>LOG10(MAX(ABS(C160),1E-30))</x:f>
        <x:v>-1.82706971913265</x:v>
      </x:c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</x:row>
    <x:row r="161" ht="15" hidden="0" customHeight="1">
      <x:c r="A161" s="1" t="n">
        <x:v>0.5400006</x:v>
      </x:c>
      <x:c r="B161" s="1" t="n">
        <x:v>0.0066882800792921445</x:v>
      </x:c>
      <x:c r="C161" s="1" t="n">
        <x:v>0.01569480395259232</x:v>
      </x:c>
      <x:c r="D161" s="1" t="n">
        <x:f>LOG10(MAX(ABS(B161),1E-30))</x:f>
        <x:v>-2.17468554861566</x:v>
      </x:c>
      <x:c r="E161" s="1" t="n">
        <x:f>LOG10(MAX(ABS(C161),1E-30))</x:f>
        <x:v>-1.80424410480237</x:v>
      </x:c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</x:row>
    <x:row r="162" ht="15" hidden="0" customHeight="1">
      <x:c r="A162" s="1" t="n">
        <x:v>0.5499977</x:v>
      </x:c>
      <x:c r="B162" s="1" t="n">
        <x:v>0.006892794888520533</x:v>
      </x:c>
      <x:c r="C162" s="1" t="n">
        <x:v>0.01637440263314774</x:v>
      </x:c>
      <x:c r="D162" s="1" t="n">
        <x:f>LOG10(MAX(ABS(B162),1E-30))</x:f>
        <x:v>-2.16160464477711</x:v>
      </x:c>
      <x:c r="E162" s="1" t="n">
        <x:f>LOG10(MAX(ABS(C162),1E-30))</x:f>
        <x:v>-1.7858345348696</x:v>
      </x:c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</x:row>
    <x:row r="163" ht="15" hidden="0" customHeight="1">
      <x:c r="A163" s="1" t="n">
        <x:v>0.5599988</x:v>
      </x:c>
      <x:c r="B163" s="1" t="n">
        <x:v>0.007116350287785133</x:v>
      </x:c>
      <x:c r="C163" s="1" t="n">
        <x:v>0.017120634183210966</x:v>
      </x:c>
      <x:c r="D163" s="1" t="n">
        <x:f>LOG10(MAX(ABS(B163),1E-30))</x:f>
        <x:v>-2.14774268280453</x:v>
      </x:c>
      <x:c r="E163" s="1" t="n">
        <x:f>LOG10(MAX(ABS(C163),1E-30))</x:f>
        <x:v>-1.76648015220747</x:v>
      </x:c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</x:row>
    <x:row r="164" ht="15" hidden="0" customHeight="1">
      <x:c r="A164" s="1" t="n">
        <x:v>0.5700006</x:v>
      </x:c>
      <x:c r="B164" s="1" t="n">
        <x:v>0.00732835881908959</x:v>
      </x:c>
      <x:c r="C164" s="1" t="n">
        <x:v>0.01789002454588232</x:v>
      </x:c>
      <x:c r="D164" s="1" t="n">
        <x:f>LOG10(MAX(ABS(B164),1E-30))</x:f>
        <x:v>-2.13499327441997</x:v>
      </x:c>
      <x:c r="E164" s="1" t="n">
        <x:f>LOG10(MAX(ABS(C164),1E-30))</x:f>
        <x:v>-1.74738906356153</x:v>
      </x:c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</x:row>
    <x:row r="165" ht="15" hidden="0" customHeight="1">
      <x:c r="A165" s="1" t="n">
        <x:v>0.5799983</x:v>
      </x:c>
      <x:c r="B165" s="1" t="n">
        <x:v>0.007557239189072393</x:v>
      </x:c>
      <x:c r="C165" s="1" t="n">
        <x:v>0.018652044266300263</x:v>
      </x:c>
      <x:c r="D165" s="1" t="n">
        <x:f>LOG10(MAX(ABS(B165),1E-30))</x:f>
        <x:v>-2.12163683200343</x:v>
      </x:c>
      <x:c r="E165" s="1" t="n">
        <x:f>LOG10(MAX(ABS(C165),1E-30))</x:f>
        <x:v>-1.72927356251911</x:v>
      </x:c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</x:row>
    <x:row r="166" ht="15" hidden="0" customHeight="1">
      <x:c r="A166" s="1" t="n">
        <x:v>0.5899994</x:v>
      </x:c>
      <x:c r="B166" s="1" t="n">
        <x:v>0.007776159996394158</x:v>
      </x:c>
      <x:c r="C166" s="1" t="n">
        <x:v>0.019381426613054826</x:v>
      </x:c>
      <x:c r="D166" s="1" t="n">
        <x:f>LOG10(MAX(ABS(B166),1E-30))</x:f>
        <x:v>-2.10923481227465</x:v>
      </x:c>
      <x:c r="E166" s="1" t="n">
        <x:f>LOG10(MAX(ABS(C166),1E-30))</x:f>
        <x:v>-1.71261425889647</x:v>
      </x:c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</x:row>
    <x:row r="167" ht="15" hidden="0" customHeight="1">
      <x:c r="A167" s="1" t="n">
        <x:v>0.6000012</x:v>
      </x:c>
      <x:c r="B167" s="1" t="n">
        <x:v>0.008002827758990331</x:v>
      </x:c>
      <x:c r="C167" s="1" t="n">
        <x:v>0.02015787638164643</x:v>
      </x:c>
      <x:c r="D167" s="1" t="n">
        <x:f>LOG10(MAX(ABS(B167),1E-30))</x:f>
        <x:v>-2.09675653011654</x:v>
      </x:c>
      <x:c r="E167" s="1" t="n">
        <x:f>LOG10(MAX(ABS(C167),1E-30))</x:f>
        <x:v>-1.69555522244037</x:v>
      </x:c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</x:row>
    <x:row r="168" ht="15" hidden="0" customHeight="1">
      <x:c r="A168" s="1" t="n">
        <x:v>0.6099989</x:v>
      </x:c>
      <x:c r="B168" s="1" t="n">
        <x:v>0.008246839873607009</x:v>
      </x:c>
      <x:c r="C168" s="1" t="n">
        <x:v>0.020908253033783075</x:v>
      </x:c>
      <x:c r="D168" s="1" t="n">
        <x:f>LOG10(MAX(ABS(B168),1E-30))</x:f>
        <x:v>-2.08371243791947</x:v>
      </x:c>
      <x:c r="E168" s="1" t="n">
        <x:f>LOG10(MAX(ABS(C168),1E-30))</x:f>
        <x:v>-1.67968225266694</x:v>
      </x:c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</x:row>
    <x:row r="169" ht="15" hidden="0" customHeight="1">
      <x:c r="A169" s="1" t="n">
        <x:v>0.619998</x:v>
      </x:c>
      <x:c r="B169" s="1" t="n">
        <x:v>0.008472116975678212</x:v>
      </x:c>
      <x:c r="C169" s="1" t="n">
        <x:v>0.02169849623077598</x:v>
      </x:c>
      <x:c r="D169" s="1" t="n">
        <x:f>LOG10(MAX(ABS(B169),1E-30))</x:f>
        <x:v>-2.07200805649584</x:v>
      </x:c>
      <x:c r="E169" s="1" t="n">
        <x:f>LOG10(MAX(ABS(C169),1E-30))</x:f>
        <x:v>-1.66357036298583</x:v>
      </x:c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</x:row>
    <x:row r="170" ht="15" hidden="0" customHeight="1">
      <x:c r="A170" s="1" t="n">
        <x:v>0.6299998</x:v>
      </x:c>
      <x:c r="B170" s="1" t="n">
        <x:v>0.008722585829497304</x:v>
      </x:c>
      <x:c r="C170" s="1" t="n">
        <x:v>0.022542187194435657</x:v>
      </x:c>
      <x:c r="D170" s="1" t="n">
        <x:f>LOG10(MAX(ABS(B170),1E-30))</x:f>
        <x:v>-2.05935474843833</x:v>
      </x:c>
      <x:c r="E170" s="1" t="n">
        <x:f>LOG10(MAX(ABS(C170),1E-30))</x:f>
        <x:v>-1.64700394807738</x:v>
      </x:c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</x:row>
    <x:row r="171" ht="15" hidden="0" customHeight="1">
      <x:c r="A171" s="1" t="n">
        <x:v>0.6399989</x:v>
      </x:c>
      <x:c r="B171" s="1" t="n">
        <x:v>0.008974288310964182</x:v>
      </x:c>
      <x:c r="C171" s="1" t="n">
        <x:v>0.023310106258077536</x:v>
      </x:c>
      <x:c r="D171" s="1" t="n">
        <x:f>LOG10(MAX(ABS(B171),1E-30))</x:f>
        <x:v>-2.04699998229019</x:v>
      </x:c>
      <x:c r="E171" s="1" t="n">
        <x:f>LOG10(MAX(ABS(C171),1E-30))</x:f>
        <x:v>-1.63245574676293</x:v>
      </x:c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</x:row>
    <x:row r="172" ht="15" hidden="0" customHeight="1">
      <x:c r="A172" s="1" t="n">
        <x:v>0.6499993</x:v>
      </x:c>
      <x:c r="B172" s="1" t="n">
        <x:v>0.009186376066062533</x:v>
      </x:c>
      <x:c r="C172" s="1" t="n">
        <x:v>0.02408939959498572</x:v>
      </x:c>
      <x:c r="D172" s="1" t="n">
        <x:f>LOG10(MAX(ABS(B172),1E-30))</x:f>
        <x:v>-2.03685577968092</x:v>
      </x:c>
      <x:c r="E172" s="1" t="n">
        <x:f>LOG10(MAX(ABS(C172),1E-30))</x:f>
        <x:v>-1.61817402423719</x:v>
      </x:c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</x:row>
    <x:row r="173" ht="15" hidden="0" customHeight="1">
      <x:c r="A173" s="1" t="n">
        <x:v>0.6600004</x:v>
      </x:c>
      <x:c r="B173" s="1" t="n">
        <x:v>0.009433510446985023</x:v>
      </x:c>
      <x:c r="C173" s="1" t="n">
        <x:v>0.02489895359174044</x:v>
      </x:c>
      <x:c r="D173" s="1" t="n">
        <x:f>LOG10(MAX(ABS(B173),1E-30))</x:f>
        <x:v>-2.02532666526327</x:v>
      </x:c>
      <x:c r="E173" s="1" t="n">
        <x:f>LOG10(MAX(ABS(C173),1E-30))</x:f>
        <x:v>-1.60381890426499</x:v>
      </x:c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</x:row>
    <x:row r="174" ht="15" hidden="0" customHeight="1">
      <x:c r="A174" s="1" t="n">
        <x:v>0.6699995</x:v>
      </x:c>
      <x:c r="B174" s="1" t="n">
        <x:v>0.009684474449515956</x:v>
      </x:c>
      <x:c r="C174" s="1" t="n">
        <x:v>0.025690484175384134</x:v>
      </x:c>
      <x:c r="D174" s="1" t="n">
        <x:f>LOG10(MAX(ABS(B174),1E-30))</x:f>
        <x:v>-2.01392394230348</x:v>
      </x:c>
      <x:c r="E174" s="1" t="n">
        <x:f>LOG10(MAX(ABS(C174),1E-30))</x:f>
        <x:v>-1.59022771073108</x:v>
      </x:c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</x:row>
    <x:row r="175" ht="15" hidden="0" customHeight="1">
      <x:c r="A175" s="1" t="n">
        <x:v>0.6799999</x:v>
      </x:c>
      <x:c r="B175" s="1" t="n">
        <x:v>0.009940579510386408</x:v>
      </x:c>
      <x:c r="C175" s="1" t="n">
        <x:v>0.026519207500840143</x:v>
      </x:c>
      <x:c r="D175" s="1" t="n">
        <x:f>LOG10(MAX(ABS(B175),1E-30))</x:f>
        <x:v>-2.00258829660603</x:v>
      </x:c>
      <x:c r="E175" s="1" t="n">
        <x:f>LOG10(MAX(ABS(C175),1E-30))</x:f>
        <x:v>-1.57643945851593</x:v>
      </x:c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</x:row>
    <x:row r="176" ht="15" hidden="0" customHeight="1">
      <x:c r="A176" s="1" t="n">
        <x:v>0.690001</x:v>
      </x:c>
      <x:c r="B176" s="1" t="n">
        <x:v>0.010206482856908897</x:v>
      </x:c>
      <x:c r="C176" s="1" t="n">
        <x:v>0.027377088011870592</x:v>
      </x:c>
      <x:c r="D176" s="1" t="n">
        <x:f>LOG10(MAX(ABS(B176),1E-30))</x:f>
        <x:v>-1.99112388954772</x:v>
      </x:c>
      <x:c r="E176" s="1" t="n">
        <x:f>LOG10(MAX(ABS(C176),1E-30))</x:f>
        <x:v>-1.56261274786134</x:v>
      </x:c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</x:row>
    <x:row r="177" ht="15" hidden="0" customHeight="1">
      <x:c r="A177" s="1" t="n">
        <x:v>0.6999994</x:v>
      </x:c>
      <x:c r="B177" s="1" t="n">
        <x:v>0.010529015654249393</x:v>
      </x:c>
      <x:c r="C177" s="1" t="n">
        <x:v>0.028180869989355848</x:v>
      </x:c>
      <x:c r="D177" s="1" t="n">
        <x:f>LOG10(MAX(ABS(B177),1E-30))</x:f>
        <x:v>-1.97761222861605</x:v>
      </x:c>
      <x:c r="E177" s="1" t="n">
        <x:f>LOG10(MAX(ABS(C177),1E-30))</x:f>
        <x:v>-1.5500456036417</x:v>
      </x:c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</x:row>
    <x:row r="178" ht="15" hidden="0" customHeight="1">
      <x:c r="A178" s="1" t="n">
        <x:v>0.7100005</x:v>
      </x:c>
      <x:c r="B178" s="1" t="n">
        <x:v>0.010742196980645612</x:v>
      </x:c>
      <x:c r="C178" s="1" t="n">
        <x:v>0.02898966004238373</x:v>
      </x:c>
      <x:c r="D178" s="1" t="n">
        <x:f>LOG10(MAX(ABS(B178),1E-30))</x:f>
        <x:v>-1.96890688818998</x:v>
      </x:c>
      <x:c r="E178" s="1" t="n">
        <x:f>LOG10(MAX(ABS(C178),1E-30))</x:f>
        <x:v>-1.5377568775247</x:v>
      </x:c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</x:row>
    <x:row r="179" ht="15" hidden="0" customHeight="1">
      <x:c r="A179" s="1" t="n">
        <x:v>0.7199983</x:v>
      </x:c>
      <x:c r="B179" s="1" t="n">
        <x:v>0.010997178761295487</x:v>
      </x:c>
      <x:c r="C179" s="1" t="n">
        <x:v>0.029894240150493852</x:v>
      </x:c>
      <x:c r="D179" s="1" t="n">
        <x:f>LOG10(MAX(ABS(B179),1E-30))</x:f>
        <x:v>-1.9587187153465</x:v>
      </x:c>
      <x:c r="E179" s="1" t="n">
        <x:f>LOG10(MAX(ABS(C179),1E-30))</x:f>
        <x:v>-1.52441248096741</x:v>
      </x:c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</x:row>
    <x:row r="180" ht="15" hidden="0" customHeight="1">
      <x:c r="A180" s="1" t="n">
        <x:v>0.7300014</x:v>
      </x:c>
      <x:c r="B180" s="1" t="n">
        <x:v>0.011269002671700997</x:v>
      </x:c>
      <x:c r="C180" s="1" t="n">
        <x:v>0.030792156971653193</x:v>
      </x:c>
      <x:c r="D180" s="1" t="n">
        <x:f>LOG10(MAX(ABS(B180),1E-30))</x:f>
        <x:v>-1.94811451814581</x:v>
      </x:c>
      <x:c r="E180" s="1" t="n">
        <x:f>LOG10(MAX(ABS(C180),1E-30))</x:f>
        <x:v>-1.51155988796994</x:v>
      </x:c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</x:row>
    <x:row r="181" ht="15" hidden="0" customHeight="1">
      <x:c r="A181" s="1" t="n">
        <x:v>0.7400005</x:v>
      </x:c>
      <x:c r="B181" s="1" t="n">
        <x:v>0.011572644838329439</x:v>
      </x:c>
      <x:c r="C181" s="1" t="n">
        <x:v>0.03159790539687976</x:v>
      </x:c>
      <x:c r="D181" s="1" t="n">
        <x:f>LOG10(MAX(ABS(B181),1E-30))</x:f>
        <x:v>-1.93656737506504</x:v>
      </x:c>
      <x:c r="E181" s="1" t="n">
        <x:f>LOG10(MAX(ABS(C181),1E-30))</x:f>
        <x:v>-1.50034170550587</x:v>
      </x:c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</x:row>
    <x:row r="182" ht="15" hidden="0" customHeight="1">
      <x:c r="A182" s="1" t="n">
        <x:v>0.7499982</x:v>
      </x:c>
      <x:c r="B182" s="1" t="n">
        <x:v>0.011867186171634235</x:v>
      </x:c>
      <x:c r="C182" s="1" t="n">
        <x:v>0.03243631948998181</x:v>
      </x:c>
      <x:c r="D182" s="1" t="n">
        <x:f>LOG10(MAX(ABS(B182),1E-30))</x:f>
        <x:v>-1.92565224439828</x:v>
      </x:c>
      <x:c r="E182" s="1" t="n">
        <x:f>LOG10(MAX(ABS(C182),1E-30))</x:f>
        <x:v>-1.4889684305359</x:v>
      </x:c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</x:row>
    <x:row r="183" ht="15" hidden="0" customHeight="1">
      <x:c r="A183" s="1" t="n">
        <x:v>0.76</x:v>
      </x:c>
      <x:c r="B183" s="1" t="n">
        <x:v>0.012154199829808433</x:v>
      </x:c>
      <x:c r="C183" s="1" t="n">
        <x:v>0.03332139073884538</x:v>
      </x:c>
      <x:c r="D183" s="1" t="n">
        <x:f>LOG10(MAX(ABS(B183),1E-30))</x:f>
        <x:v>-1.9152736276012</x:v>
      </x:c>
      <x:c r="E183" s="1" t="n">
        <x:f>LOG10(MAX(ABS(C183),1E-30))</x:f>
        <x:v>-1.47727688068657</x:v>
      </x:c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</x:row>
    <x:row r="184" ht="15" hidden="0" customHeight="1">
      <x:c r="A184" s="1" t="n">
        <x:v>0.7700004</x:v>
      </x:c>
      <x:c r="B184" s="1" t="n">
        <x:v>0.012436904279479008</x:v>
      </x:c>
      <x:c r="C184" s="1" t="n">
        <x:v>0.034201170970045276</x:v>
      </x:c>
      <x:c r="D184" s="1" t="n">
        <x:f>LOG10(MAX(ABS(B184),1E-30))</x:f>
        <x:v>-1.90528770820249</x:v>
      </x:c>
      <x:c r="E184" s="1" t="n">
        <x:f>LOG10(MAX(ABS(C184),1E-30))</x:f>
        <x:v>-1.46595902443734</x:v>
      </x:c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</x:row>
    <x:row r="185" ht="15" hidden="0" customHeight="1">
      <x:c r="A185" s="1" t="n">
        <x:v>0.7799988</x:v>
      </x:c>
      <x:c r="B185" s="1" t="n">
        <x:v>0.012752635148229408</x:v>
      </x:c>
      <x:c r="C185" s="1" t="n">
        <x:v>0.03506879883714597</x:v>
      </x:c>
      <x:c r="D185" s="1" t="n">
        <x:f>LOG10(MAX(ABS(B185),1E-30))</x:f>
        <x:v>-1.89440006526243</x:v>
      </x:c>
      <x:c r="E185" s="1" t="n">
        <x:f>LOG10(MAX(ABS(C185),1E-30))</x:f>
        <x:v>-1.45507910914938</x:v>
      </x:c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</x:row>
    <x:row r="186" ht="15" hidden="0" customHeight="1">
      <x:c r="A186" s="1" t="n">
        <x:v>0.7899999</x:v>
      </x:c>
      <x:c r="B186" s="1" t="n">
        <x:v>0.013033380223711696</x:v>
      </x:c>
      <x:c r="C186" s="1" t="n">
        <x:v>0.035974142888982936</x:v>
      </x:c>
      <x:c r="D186" s="1" t="n">
        <x:f>LOG10(MAX(ABS(B186),1E-30))</x:f>
        <x:v>-1.88494293485352</x:v>
      </x:c>
      <x:c r="E186" s="1" t="n">
        <x:f>LOG10(MAX(ABS(C186),1E-30))</x:f>
        <x:v>-1.44400954466084</x:v>
      </x:c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</x:row>
    <x:row r="187" ht="15" hidden="0" customHeight="1">
      <x:c r="A187" s="1" t="n">
        <x:v>0.7999997</x:v>
      </x:c>
      <x:c r="B187" s="1" t="n">
        <x:v>0.013327664079686333</x:v>
      </x:c>
      <x:c r="C187" s="1" t="n">
        <x:v>0.03696231824675795</x:v>
      </x:c>
      <x:c r="D187" s="1" t="n">
        <x:f>LOG10(MAX(ABS(B187),1E-30))</x:f>
        <x:v>-1.87524596207903</x:v>
      </x:c>
      <x:c r="E187" s="1" t="n">
        <x:f>LOG10(MAX(ABS(C187),1E-30))</x:f>
        <x:v>-1.43224079799844</x:v>
      </x:c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</x:row>
    <x:row r="188" ht="15" hidden="0" customHeight="1">
      <x:c r="A188" s="1" t="n">
        <x:v>0.8100008</x:v>
      </x:c>
      <x:c r="B188" s="1" t="n">
        <x:v>0.013591359062954013</x:v>
      </x:c>
      <x:c r="C188" s="1" t="n">
        <x:v>0.03786825647704912</x:v>
      </x:c>
      <x:c r="D188" s="1" t="n">
        <x:f>LOG10(MAX(ABS(B188),1E-30))</x:f>
        <x:v>-1.86673711397903</x:v>
      </x:c>
      <x:c r="E188" s="1" t="n">
        <x:f>LOG10(MAX(ABS(C188),1E-30))</x:f>
        <x:v>-1.42172469012153</x:v>
      </x:c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</x:row>
    <x:row r="189" ht="15" hidden="0" customHeight="1">
      <x:c r="A189" s="1" t="n">
        <x:v>0.8199999</x:v>
      </x:c>
      <x:c r="B189" s="1" t="n">
        <x:v>0.013894716872750795</x:v>
      </x:c>
      <x:c r="C189" s="1" t="n">
        <x:v>0.03873857229429981</x:v>
      </x:c>
      <x:c r="D189" s="1" t="n">
        <x:f>LOG10(MAX(ABS(B189),1E-30))</x:f>
        <x:v>-1.85715029824643</x:v>
      </x:c>
      <x:c r="E189" s="1" t="n">
        <x:f>LOG10(MAX(ABS(C189),1E-30))</x:f>
        <x:v>-1.41185638919598</x:v>
      </x:c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</x:row>
    <x:row r="190" ht="15" hidden="0" customHeight="1">
      <x:c r="A190" s="1" t="n">
        <x:v>0.8299996</x:v>
      </x:c>
      <x:c r="B190" s="1" t="n">
        <x:v>0.014244438993213808</x:v>
      </x:c>
      <x:c r="C190" s="1" t="n">
        <x:v>0.039671290996348585</x:v>
      </x:c>
      <x:c r="D190" s="1" t="n">
        <x:f>LOG10(MAX(ABS(B190),1E-30))</x:f>
        <x:v>-1.84635465045745</x:v>
      </x:c>
      <x:c r="E190" s="1" t="n">
        <x:f>LOG10(MAX(ABS(C190),1E-30))</x:f>
        <x:v>-1.40152366634038</x:v>
      </x:c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</x:row>
    <x:row r="191" ht="15" hidden="0" customHeight="1">
      <x:c r="A191" s="1" t="n">
        <x:v>0.84</x:v>
      </x:c>
      <x:c r="B191" s="1" t="n">
        <x:v>0.0145083532566253</x:v>
      </x:c>
      <x:c r="C191" s="1" t="n">
        <x:v>0.04054184731440217</x:v>
      </x:c>
      <x:c r="D191" s="1" t="n">
        <x:f>LOG10(MAX(ABS(B191),1E-30))</x:f>
        <x:v>-1.83838187854409</x:v>
      </x:c>
      <x:c r="E191" s="1" t="n">
        <x:f>LOG10(MAX(ABS(C191),1E-30))</x:f>
        <x:v>-1.39209646629489</x:v>
      </x:c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</x:row>
    <x:row r="192" ht="15" hidden="0" customHeight="1">
      <x:c r="A192" s="1" t="n">
        <x:v>0.8500005</x:v>
      </x:c>
      <x:c r="B192" s="1" t="n">
        <x:v>0.014828643737656457</x:v>
      </x:c>
      <x:c r="C192" s="1" t="n">
        <x:v>0.041460772588049644</x:v>
      </x:c>
      <x:c r="D192" s="1" t="n">
        <x:f>LOG10(MAX(ABS(B192),1E-30))</x:f>
        <x:v>-1.82889856874151</x:v>
      </x:c>
      <x:c r="E192" s="1" t="n">
        <x:f>LOG10(MAX(ABS(C192),1E-30))</x:f>
        <x:v>-1.38236260943944</x:v>
      </x:c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</x:row>
    <x:row r="193" ht="15" hidden="0" customHeight="1">
      <x:c r="A193" s="1" t="n">
        <x:v>0.8600009</x:v>
      </x:c>
      <x:c r="B193" s="1" t="n">
        <x:v>0.015128590680183957</x:v>
      </x:c>
      <x:c r="C193" s="1" t="n">
        <x:v>0.04235335595022715</x:v>
      </x:c>
      <x:c r="D193" s="1" t="n">
        <x:f>LOG10(MAX(ABS(B193),1E-30))</x:f>
        <x:v>-1.82020152725289</x:v>
      </x:c>
      <x:c r="E193" s="1" t="n">
        <x:f>LOG10(MAX(ABS(C193),1E-30))</x:f>
        <x:v>-1.37311217180504</x:v>
      </x:c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</x:row>
    <x:row r="194" ht="15" hidden="0" customHeight="1">
      <x:c r="A194" s="1" t="n">
        <x:v>0.8700006</x:v>
      </x:c>
      <x:c r="B194" s="1" t="n">
        <x:v>0.015491902510721108</x:v>
      </x:c>
      <x:c r="C194" s="1" t="n">
        <x:v>0.04322368591458389</x:v>
      </x:c>
      <x:c r="D194" s="1" t="n">
        <x:f>LOG10(MAX(ABS(B194),1E-30))</x:f>
        <x:v>-1.80989524465711</x:v>
      </x:c>
      <x:c r="E194" s="1" t="n">
        <x:f>LOG10(MAX(ABS(C194),1E-30))</x:f>
        <x:v>-1.3642782012633</x:v>
      </x:c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</x:row>
    <x:row r="195" ht="15" hidden="0" customHeight="1">
      <x:c r="A195" s="1" t="n">
        <x:v>0.8799984</x:v>
      </x:c>
      <x:c r="B195" s="1" t="n">
        <x:v>0.01580718491620964</x:v>
      </x:c>
      <x:c r="C195" s="1" t="n">
        <x:v>0.04421453507540286</x:v>
      </x:c>
      <x:c r="D195" s="1" t="n">
        <x:f>LOG10(MAX(ABS(B195),1E-30))</x:f>
        <x:v>-1.80114546619767</x:v>
      </x:c>
      <x:c r="E195" s="1" t="n">
        <x:f>LOG10(MAX(ABS(C195),1E-30))</x:f>
        <x:v>-1.35443493731737</x:v>
      </x:c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</x:row>
    <x:row r="196" ht="15" hidden="0" customHeight="1">
      <x:c r="A196" s="1" t="n">
        <x:v>0.8900008</x:v>
      </x:c>
      <x:c r="B196" s="1" t="n">
        <x:v>0.016124065944682117</x:v>
      </x:c>
      <x:c r="C196" s="1" t="n">
        <x:v>0.04518426260688525</x:v>
      </x:c>
      <x:c r="D196" s="1" t="n">
        <x:f>LOG10(MAX(ABS(B196),1E-30))</x:f>
        <x:v>-1.79252543432493</x:v>
      </x:c>
      <x:c r="E196" s="1" t="n">
        <x:f>LOG10(MAX(ABS(C196),1E-30))</x:f>
        <x:v>-1.34501280087636</x:v>
      </x:c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</x:row>
    <x:row r="197" ht="15" hidden="0" customHeight="1">
      <x:c r="A197" s="1" t="n">
        <x:v>0.9000006</x:v>
      </x:c>
      <x:c r="B197" s="1" t="n">
        <x:v>0.016449619149164846</x:v>
      </x:c>
      <x:c r="C197" s="1" t="n">
        <x:v>0.04618418006268394</x:v>
      </x:c>
      <x:c r="D197" s="1" t="n">
        <x:f>LOG10(MAX(ABS(B197),1E-30))</x:f>
        <x:v>-1.78384415262774</x:v>
      </x:c>
      <x:c r="E197" s="1" t="n">
        <x:f>LOG10(MAX(ABS(C197),1E-30))</x:f>
        <x:v>-1.33550676228065</x:v>
      </x:c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</x:row>
    <x:row r="198" ht="15" hidden="0" customHeight="1">
      <x:c r="A198" s="1" t="n">
        <x:v>0.9099997</x:v>
      </x:c>
      <x:c r="B198" s="1" t="n">
        <x:v>0.016763373667199696</x:v>
      </x:c>
      <x:c r="C198" s="1" t="n">
        <x:v>0.04707092067006172</x:v>
      </x:c>
      <x:c r="D198" s="1" t="n">
        <x:f>LOG10(MAX(ABS(B198),1E-30))</x:f>
        <x:v>-1.77563857415414</x:v>
      </x:c>
      <x:c r="E198" s="1" t="n">
        <x:f>LOG10(MAX(ABS(C198),1E-30))</x:f>
        <x:v>-1.32724730715299</x:v>
      </x:c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</x:row>
    <x:row r="199" ht="15" hidden="0" customHeight="1">
      <x:c r="A199" s="1" t="n">
        <x:v>0.9200008</x:v>
      </x:c>
      <x:c r="B199" s="1" t="n">
        <x:v>0.017134551288702102</x:v>
      </x:c>
      <x:c r="C199" s="1" t="n">
        <x:v>0.048118683638530335</x:v>
      </x:c>
      <x:c r="D199" s="1" t="n">
        <x:f>LOG10(MAX(ABS(B199),1E-30))</x:f>
        <x:v>-1.76612726417793</x:v>
      </x:c>
      <x:c r="E199" s="1" t="n">
        <x:f>LOG10(MAX(ABS(C199),1E-30))</x:f>
        <x:v>-1.31768626197106</x:v>
      </x:c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</x:row>
    <x:row r="200" ht="15" hidden="0" customHeight="1">
      <x:c r="A200" s="1" t="n">
        <x:v>0.9299992</x:v>
      </x:c>
      <x:c r="B200" s="1" t="n">
        <x:v>0.01748121197541533</x:v>
      </x:c>
      <x:c r="C200" s="1" t="n">
        <x:v>0.0487858187186534</x:v>
      </x:c>
      <x:c r="D200" s="1" t="n">
        <x:f>LOG10(MAX(ABS(B200),1E-30))</x:f>
        <x:v>-1.75742846094712</x:v>
      </x:c>
      <x:c r="E200" s="1" t="n">
        <x:f>LOG10(MAX(ABS(C200),1E-30))</x:f>
        <x:v>-1.311706402327</x:v>
      </x:c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</x:row>
    <x:row r="201" ht="15" hidden="0" customHeight="1">
      <x:c r="A201" s="1" t="n">
        <x:v>0.939999</x:v>
      </x:c>
      <x:c r="B201" s="1" t="n">
        <x:v>0.017883329317854794</x:v>
      </x:c>
      <x:c r="C201" s="1" t="n">
        <x:v>0.04979348878856891</x:v>
      </x:c>
      <x:c r="D201" s="1" t="n">
        <x:f>LOG10(MAX(ABS(B201),1E-30))</x:f>
        <x:v>-1.74755162593309</x:v>
      </x:c>
      <x:c r="E201" s="1" t="n">
        <x:f>LOG10(MAX(ABS(C201),1E-30))</x:f>
        <x:v>-1.30282744374778</x:v>
      </x:c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</x:row>
    <x:row r="202" ht="15" hidden="0" customHeight="1">
      <x:c r="A202" s="1" t="n">
        <x:v>0.9499967</x:v>
      </x:c>
      <x:c r="B202" s="1" t="n">
        <x:v>0.018240939864652746</x:v>
      </x:c>
      <x:c r="C202" s="1" t="n">
        <x:v>0.05090498446980456</x:v>
      </x:c>
      <x:c r="D202" s="1" t="n">
        <x:f>LOG10(MAX(ABS(B202),1E-30))</x:f>
        <x:v>-1.73895278840253</x:v>
      </x:c>
      <x:c r="E202" s="1" t="n">
        <x:f>LOG10(MAX(ABS(C202),1E-30))</x:f>
        <x:v>-1.29323969071342</x:v>
      </x:c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</x:row>
    <x:row r="203" ht="15" hidden="0" customHeight="1">
      <x:c r="A203" s="1" t="n">
        <x:v>0.9599991</x:v>
      </x:c>
      <x:c r="B203" s="1" t="n">
        <x:v>0.018661236238369825</x:v>
      </x:c>
      <x:c r="C203" s="1" t="n">
        <x:v>0.051852826428223565</x:v>
      </x:c>
      <x:c r="D203" s="1" t="n">
        <x:f>LOG10(MAX(ABS(B203),1E-30))</x:f>
        <x:v>-1.72905958922197</x:v>
      </x:c>
      <x:c r="E203" s="1" t="n">
        <x:f>LOG10(MAX(ABS(C203),1E-30))</x:f>
        <x:v>-1.28522756581832</x:v>
      </x:c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</x:row>
    <x:row r="204" ht="15" hidden="0" customHeight="1">
      <x:c r="A204" s="1" t="n">
        <x:v>0.9699996</x:v>
      </x:c>
      <x:c r="B204" s="1" t="n">
        <x:v>0.01899738562528596</x:v>
      </x:c>
      <x:c r="C204" s="1" t="n">
        <x:v>0.052806058434048626</x:v>
      </x:c>
      <x:c r="D204" s="1" t="n">
        <x:f>LOG10(MAX(ABS(B204),1E-30))</x:f>
        <x:v>-1.72130616150162</x:v>
      </x:c>
      <x:c r="E204" s="1" t="n">
        <x:f>LOG10(MAX(ABS(C204),1E-30))</x:f>
        <x:v>-1.27731624804318</x:v>
      </x:c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</x:row>
    <x:row r="205" ht="15" hidden="0" customHeight="1">
      <x:c r="A205" s="1" t="n">
        <x:v>0.98</x:v>
      </x:c>
      <x:c r="B205" s="1" t="n">
        <x:v>0.019342150599788138</x:v>
      </x:c>
      <x:c r="C205" s="1" t="n">
        <x:v>0.053809286312663615</x:v>
      </x:c>
      <x:c r="D205" s="1" t="n">
        <x:f>LOG10(MAX(ABS(B205),1E-30))</x:f>
        <x:v>-1.71349523957593</x:v>
      </x:c>
      <x:c r="E205" s="1" t="n">
        <x:f>LOG10(MAX(ABS(C205),1E-30))</x:f>
        <x:v>-1.26914276808225</x:v>
      </x:c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</x:row>
    <x:row r="206" ht="15" hidden="0" customHeight="1">
      <x:c r="A206" s="1" t="n">
        <x:v>0.9899991</x:v>
      </x:c>
      <x:c r="B206" s="1" t="n">
        <x:v>0.019713667751835803</x:v>
      </x:c>
      <x:c r="C206" s="1" t="n">
        <x:v>0.05481462211008045</x:v>
      </x:c>
      <x:c r="D206" s="1" t="n">
        <x:f>LOG10(MAX(ABS(B206),1E-30))</x:f>
        <x:v>-1.70523256718707</x:v>
      </x:c>
      <x:c r="E206" s="1" t="n">
        <x:f>LOG10(MAX(ABS(C206),1E-30))</x:f>
        <x:v>-1.26110357555474</x:v>
      </x:c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</x:row>
    <x:row r="207" ht="15" hidden="0" customHeight="1">
      <x:c r="A207" s="1" t="n">
        <x:v>0.9999982</x:v>
      </x:c>
      <x:c r="B207" s="1" t="n">
        <x:v>0.020110168693172385</x:v>
      </x:c>
      <x:c r="C207" s="1" t="n">
        <x:v>0.05567865661224379</x:v>
      </x:c>
      <x:c r="D207" s="1" t="n">
        <x:f>LOG10(MAX(ABS(B207),1E-30))</x:f>
        <x:v>-1.69658428632983</x:v>
      </x:c>
      <x:c r="E207" s="1" t="n">
        <x:f>LOG10(MAX(ABS(C207),1E-30))</x:f>
        <x:v>-1.25431125171876</x:v>
      </x:c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</x:row>
    <x:row r="208" ht="15" hidden="0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</x:row>
    <x:row r="209" ht="15" hidden="0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</x:row>
    <x:row r="210" ht="15" hidden="0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</x:row>
    <x:row r="211" ht="15" hidden="0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</x:row>
    <x:row r="212" ht="15" hidden="0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</x:row>
    <x:row r="213" ht="15" hidden="0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</x:row>
    <x:row r="214" ht="15" hidden="0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</x:row>
    <x:row r="215" ht="15" hidden="0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</x:row>
    <x:row r="216" ht="15" hidden="0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</x:row>
    <x:row r="217" ht="15" hidden="0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</x:row>
    <x:row r="218" ht="15" hidden="0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</x:row>
    <x:row r="219" ht="15" hidden="0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</x:row>
    <x:row r="220" ht="15" hidden="0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</x:row>
    <x:row r="221" ht="15" hidden="0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</x:row>
    <x:row r="222" ht="15" hidden="0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</x:row>
    <x:row r="223" ht="15" hidden="0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</x:row>
    <x:row r="224" ht="15" hidden="0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</x:row>
    <x:row r="225" ht="15" hidden="0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</x:row>
    <x:row r="226" ht="15" hidden="0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</x:row>
    <x:row r="227" ht="15" hidden="0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</x:row>
    <x:row r="228" ht="15" hidden="0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</x:row>
    <x:row r="229" ht="15" hidden="0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</x:row>
    <x:row r="230" ht="15" hidden="0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</x:row>
    <x:row r="231" ht="15" hidden="0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</x:row>
    <x:row r="232" ht="15" hidden="0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</x:row>
    <x:row r="233" ht="15" hidden="0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</x:row>
    <x:row r="234" ht="15" hidden="0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</x:row>
    <x:row r="235" ht="15" hidden="0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</x:row>
    <x:row r="236" ht="15" hidden="0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</x:row>
    <x:row r="237" ht="15" hidden="0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</x:row>
    <x:row r="238" ht="15" hidden="0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</x:row>
    <x:row r="239" ht="15" hidden="0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</x:row>
    <x:row r="240" ht="15" hidden="0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</x:row>
  </x:sheetData>
  <x:pageMargins left="0.7" right="0.7" top="0.75" bottom="0.75" header="0.3" footer="0.3"/>
  <x:drawing xmlns:r="http://schemas.openxmlformats.org/officeDocument/2006/relationships" r:id="Raacfb224649a4257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</x:cols>
  <x:sheetData>
    <x:row r="1" ht="15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19.200000762939453" hidden="0" customHeight="1">
      <x:c r="A2" s="2" t="str">
        <x:v>I-V metrics and classification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15" hidden="0" customHeight="1">
      <x:c r="A3" s="3" t="str">
        <x:v>Offset-corrected values, common -1 V to +1 V range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15" hidden="0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</x:row>
    <x:row r="5" ht="15" hidden="0" customHeight="1">
      <x:c r="A5" s="9" t="str">
        <x:v>File</x:v>
      </x:c>
      <x:c r="B5" s="9" t="str">
        <x:v>DeviceRow</x:v>
      </x:c>
      <x:c r="C5" s="9" t="str">
        <x:v>GapLabel_um</x:v>
      </x:c>
      <x:c r="D5" s="9" t="str">
        <x:v>Area_cm2</x:v>
      </x:c>
      <x:c r="E5" s="9" t="str">
        <x:v>Temperature_K</x:v>
      </x:c>
      <x:c r="F5" s="9" t="str">
        <x:v>ZeroCurrentOffset_A</x:v>
      </x:c>
      <x:c r="G5" s="9" t="str">
        <x:v>Icorr_minus1V_A</x:v>
      </x:c>
      <x:c r="H5" s="9" t="str">
        <x:v>Icorr_plus1V_A</x:v>
      </x:c>
      <x:c r="I5" s="9" t="str">
        <x:v>J_minus1V_A_cm2</x:v>
      </x:c>
      <x:c r="J5" s="9" t="str">
        <x:v>J_plus1V_A_cm2</x:v>
      </x:c>
      <x:c r="K5" s="9" t="str">
        <x:v>RectificationRatio_0p5V</x:v>
      </x:c>
      <x:c r="L5" s="9" t="str">
        <x:v>RectificationRatio_1V</x:v>
      </x:c>
      <x:c r="M5" s="9" t="str">
        <x:v>SymmetryFactor_1V</x:v>
      </x:c>
      <x:c r="N5" s="9" t="str">
        <x:v>NearZeroSlope_A_per_V</x:v>
      </x:c>
      <x:c r="O5" s="9" t="str">
        <x:v>NearZeroResistance_Ohm</x:v>
      </x:c>
      <x:c r="P5" s="9" t="str">
        <x:v>NearZeroLinear_R2</x:v>
      </x:c>
      <x:c r="Q5" s="9" t="str">
        <x:v>ForwardFitStart_V</x:v>
      </x:c>
      <x:c r="R5" s="9" t="str">
        <x:v>ForwardFitEnd_V</x:v>
      </x:c>
      <x:c r="S5" s="9" t="str">
        <x:v>ForwardLnI_R2</x:v>
      </x:c>
      <x:c r="T5" s="9" t="str">
        <x:v>IdealityFactor_n</x:v>
      </x:c>
      <x:c r="U5" s="9" t="str">
        <x:v>SaturationCurrent_A</x:v>
      </x:c>
      <x:c r="V5" s="9" t="str">
        <x:v>BarrierHeight_IV_eV</x:v>
      </x:c>
      <x:c r="W5" s="9" t="str">
        <x:v>Classification</x:v>
      </x:c>
      <x:c r="X5" s="9" t="str">
        <x:v>SchottkyScore</x:v>
      </x:c>
      <x:c r="Y5" s="9" t="str">
        <x:v>OhmicScore</x:v>
      </x:c>
      <x:c r="Z5" s="9" t="str">
        <x:v>QualityFlag</x:v>
      </x:c>
      <x:c r="AA5" s="9" t="str">
        <x:v>PresentationSelection</x:v>
      </x:c>
      <x:c r="AB5" s="9"/>
      <x:c r="AC5" s="9"/>
    </x:row>
    <x:row r="6" ht="15" hidden="0" customHeight="1">
      <x:c r="A6" s="1" t="str">
        <x:v>1_10um.csv</x:v>
      </x:c>
      <x:c r="B6" s="1" t="n">
        <x:v>1</x:v>
      </x:c>
      <x:c r="C6" s="1" t="n">
        <x:v>10</x:v>
      </x:c>
      <x:c r="D6" s="1" t="n">
        <x:v>0.0007068583470577036</x:v>
      </x:c>
      <x:c r="E6" s="1" t="n">
        <x:v>300</x:v>
      </x:c>
      <x:c r="F6" s="1" t="n">
        <x:v>-7.001352538715933e-9</x:v>
      </x:c>
      <x:c r="G6" s="1" t="n">
        <x:v>-8.41509647461284e-7</x:v>
      </x:c>
      <x:c r="H6" s="1" t="n">
        <x:v>0.00007319059135253871</x:v>
      </x:c>
      <x:c r="I6" s="1" t="n">
        <x:v>-0.0011904926226931692</x:v>
      </x:c>
      <x:c r="J6" s="1" t="n">
        <x:v>0.10354350579178188</x:v>
      </x:c>
      <x:c r="K6" s="1" t="n">
        <x:v>21.869359774365297</x:v>
      </x:c>
      <x:c r="L6" s="1" t="n">
        <x:v>86.9753443390036</x:v>
      </x:c>
      <x:c r="M6" s="1" t="n">
        <x:v>86.9753443390036</x:v>
      </x:c>
      <x:c r="N6" s="1" t="n">
        <x:v>0.0000014591729452236876</x:v>
      </x:c>
      <x:c r="O6" s="1" t="n">
        <x:v>685319.7239390308</x:v>
      </x:c>
      <x:c r="P6" s="1" t="n">
        <x:v>0.9863099514124807</x:v>
      </x:c>
      <x:c r="Q6" s="1" t="n">
        <x:v>0.14</x:v>
      </x:c>
      <x:c r="R6" s="1" t="n">
        <x:v>0.37</x:v>
      </x:c>
      <x:c r="S6" s="1" t="n">
        <x:v>0.9997316339838298</x:v>
      </x:c>
      <x:c r="T6" s="1" t="n">
        <x:v>4.175225553119354</x:v>
      </x:c>
      <x:c r="U6" s="1" t="n">
        <x:v>8.055442325455748e-8</x:v>
      </x:c>
      <x:c r="V6" s="1" t="n">
        <x:v>0.6516181741094802</x:v>
      </x:c>
      <x:c r="W6" s="1" t="str">
        <x:v>Schottky-like</x:v>
      </x:c>
      <x:c r="X6" s="1" t="n">
        <x:v>2.939032131608757</x:v>
      </x:c>
      <x:c r="Y6" s="1" t="n">
        <x:v>-0.9530862054004559</x:v>
      </x:c>
      <x:c r="Z6" s="1" t="str">
        <x:v>OK</x:v>
      </x:c>
      <x:c r="AA6" s="1" t="str"/>
      <x:c r="AB6" s="1"/>
      <x:c r="AC6" s="1"/>
    </x:row>
    <x:row r="7" ht="15" hidden="0" customHeight="1">
      <x:c r="A7" s="1" t="str">
        <x:v>1_15um.csv</x:v>
      </x:c>
      <x:c r="B7" s="1" t="n">
        <x:v>1</x:v>
      </x:c>
      <x:c r="C7" s="1" t="n">
        <x:v>15</x:v>
      </x:c>
      <x:c r="D7" s="1" t="n">
        <x:v>0.0007068583470577036</x:v>
      </x:c>
      <x:c r="E7" s="1" t="n">
        <x:v>300</x:v>
      </x:c>
      <x:c r="F7" s="1" t="n">
        <x:v>2.7409833600522606e-10</x:v>
      </x:c>
      <x:c r="G7" s="1" t="n">
        <x:v>-1.5872049833600523e-7</x:v>
      </x:c>
      <x:c r="H7" s="1" t="n">
        <x:v>0.000021899655901663994</x:v>
      </x:c>
      <x:c r="I7" s="1" t="n">
        <x:v>-0.00022454357226830377</x:v>
      </x:c>
      <x:c r="J7" s="1" t="n">
        <x:v>0.030981675455657085</x:v>
      </x:c>
      <x:c r="K7" s="1" t="n">
        <x:v>35.47047304332405</x:v>
      </x:c>
      <x:c r="L7" s="1" t="n">
        <x:v>137.97622948047493</x:v>
      </x:c>
      <x:c r="M7" s="1" t="n">
        <x:v>137.97622948047493</x:v>
      </x:c>
      <x:c r="N7" s="1" t="n">
        <x:v>1.1034327146911614e-7</x:v>
      </x:c>
      <x:c r="O7" s="1" t="n">
        <x:v>9062627.803996993</x:v>
      </x:c>
      <x:c r="P7" s="1" t="n">
        <x:v>0.9704759988386935</x:v>
      </x:c>
      <x:c r="Q7" s="1" t="n">
        <x:v>0.18000000000000002</x:v>
      </x:c>
      <x:c r="R7" s="1" t="n">
        <x:v>0.35</x:v>
      </x:c>
      <x:c r="S7" s="1" t="n">
        <x:v>0.999591091980307</x:v>
      </x:c>
      <x:c r="T7" s="1" t="n">
        <x:v>2.971757860144236</x:v>
      </x:c>
      <x:c r="U7" s="1" t="n">
        <x:v>5.219639093320482e-9</x:v>
      </x:c>
      <x:c r="V7" s="1" t="n">
        <x:v>0.7223622946046109</x:v>
      </x:c>
      <x:c r="W7" s="1" t="str">
        <x:v>Schottky-like</x:v>
      </x:c>
      <x:c r="X7" s="1" t="n">
        <x:v>3.139382848549656</x:v>
      </x:c>
      <x:c r="Y7" s="1" t="n">
        <x:v>-1.1693282738330657</x:v>
      </x:c>
      <x:c r="Z7" s="1" t="str">
        <x:v>OK</x:v>
      </x:c>
      <x:c r="AA7" s="1" t="str"/>
      <x:c r="AB7" s="1"/>
      <x:c r="AC7" s="1"/>
    </x:row>
    <x:row r="8" ht="15" hidden="0" customHeight="1">
      <x:c r="A8" s="1" t="str">
        <x:v>1_20um.csv</x:v>
      </x:c>
      <x:c r="B8" s="1" t="n">
        <x:v>1</x:v>
      </x:c>
      <x:c r="C8" s="1" t="n">
        <x:v>20</x:v>
      </x:c>
      <x:c r="D8" s="1" t="n">
        <x:v>0.0007068583470577036</x:v>
      </x:c>
      <x:c r="E8" s="1" t="n">
        <x:v>300</x:v>
      </x:c>
      <x:c r="F8" s="1" t="n">
        <x:v>7.572381308917752e-9</x:v>
      </x:c>
      <x:c r="G8" s="1" t="n">
        <x:v>-9.678640813089177e-7</x:v>
      </x:c>
      <x:c r="H8" s="1" t="n">
        <x:v>0.000030116707618691084</x:v>
      </x:c>
      <x:c r="I8" s="1" t="n">
        <x:v>-0.0013692475802792028</x:v>
      </x:c>
      <x:c r="J8" s="1" t="n">
        <x:v>0.042606425663715815</x:v>
      </x:c>
      <x:c r="K8" s="1" t="n">
        <x:v>14.053796811713775</x:v>
      </x:c>
      <x:c r="L8" s="1" t="n">
        <x:v>31.116670408888325</x:v>
      </x:c>
      <x:c r="M8" s="1" t="n">
        <x:v>31.116670408888325</x:v>
      </x:c>
      <x:c r="N8" s="1" t="n">
        <x:v>0.000002549360719958283</x:v>
      </x:c>
      <x:c r="O8" s="1" t="n">
        <x:v>392255.20036111784</x:v>
      </x:c>
      <x:c r="P8" s="1" t="n">
        <x:v>0.9616762912035681</x:v>
      </x:c>
      <x:c r="Q8" s="1" t="n">
        <x:v>0.30000000000000004</x:v>
      </x:c>
      <x:c r="R8" s="1" t="n">
        <x:v>0.4700000000000001</x:v>
      </x:c>
      <x:c r="S8" s="1" t="n">
        <x:v>0.996918996188151</x:v>
      </x:c>
      <x:c r="T8" s="1" t="n">
        <x:v>7.369809351509849</x:v>
      </x:c>
      <x:c r="U8" s="1" t="n">
        <x:v>6.390069100961396e-7</x:v>
      </x:c>
      <x:c r="V8" s="1" t="n">
        <x:v>0.5980791415039582</x:v>
      </x:c>
      <x:c r="W8" s="1" t="str">
        <x:v>Schottky-like</x:v>
      </x:c>
      <x:c r="X8" s="1" t="n">
        <x:v>2.489660681417688</x:v>
      </x:c>
      <x:c r="Y8" s="1" t="n">
        <x:v>-0.5313168285919507</x:v>
      </x:c>
      <x:c r="Z8" s="1" t="str">
        <x:v>OK</x:v>
      </x:c>
      <x:c r="AA8" s="1" t="str"/>
      <x:c r="AB8" s="1"/>
      <x:c r="AC8" s="1"/>
    </x:row>
    <x:row r="9" ht="15" hidden="0" customHeight="1">
      <x:c r="A9" s="1" t="str">
        <x:v>1_25um.csv</x:v>
      </x:c>
      <x:c r="B9" s="1" t="n">
        <x:v>1</x:v>
      </x:c>
      <x:c r="C9" s="1" t="n">
        <x:v>25</x:v>
      </x:c>
      <x:c r="D9" s="1" t="n">
        <x:v>0.0007068583470577036</x:v>
      </x:c>
      <x:c r="E9" s="1" t="n">
        <x:v>300</x:v>
      </x:c>
      <x:c r="F9" s="1" t="n">
        <x:v>1.2182314340578455e-11</x:v>
      </x:c>
      <x:c r="G9" s="1" t="n">
        <x:v>-9.516749143405784e-10</x:v>
      </x:c>
      <x:c r="H9" s="1" t="n">
        <x:v>0.000030045773799343636</x:v>
      </x:c>
      <x:c r="I9" s="1" t="n">
        <x:v>-0.0000013463445940787475</x:v>
      </x:c>
      <x:c r="J9" s="1" t="n">
        <x:v>0.04250607483721329</x:v>
      </x:c>
      <x:c r="K9" s="1" t="n">
        <x:v>15702.283092027848</x:v>
      </x:c>
      <x:c r="L9" s="1" t="n">
        <x:v>31571.467679341473</x:v>
      </x:c>
      <x:c r="M9" s="1" t="n">
        <x:v>31571.467679341473</x:v>
      </x:c>
      <x:c r="N9" s="1" t="n">
        <x:v>1.0554142722179057e-8</x:v>
      </x:c>
      <x:c r="O9" s="1" t="n">
        <x:v>94749524.08010788</x:v>
      </x:c>
      <x:c r="P9" s="1" t="n">
        <x:v>0.6918853696581249</x:v>
      </x:c>
      <x:c r="Q9" s="1" t="n">
        <x:v>0.1</x:v>
      </x:c>
      <x:c r="R9" s="1" t="n">
        <x:v>0.35</x:v>
      </x:c>
      <x:c r="S9" s="1" t="n">
        <x:v>0.9926497895962201</x:v>
      </x:c>
      <x:c r="T9" s="1" t="n">
        <x:v>1.3887911659408367</x:v>
      </x:c>
      <x:c r="U9" s="1" t="n">
        <x:v>2.0236261906183992e-10</x:v>
      </x:c>
      <x:c r="V9" s="1" t="n">
        <x:v>0.8063844557986753</x:v>
      </x:c>
      <x:c r="W9" s="1" t="str">
        <x:v>Schottky-like</x:v>
      </x:c>
      <x:c r="X9" s="1" t="n">
        <x:v>5.491944155774103</x:v>
      </x:c>
      <x:c r="Y9" s="1" t="n">
        <x:v>-3.8074094019782576</x:v>
      </x:c>
      <x:c r="Z9" s="1" t="str">
        <x:v>Incomplete outside common window</x:v>
      </x:c>
      <x:c r="AA9" s="1" t="str"/>
      <x:c r="AB9" s="1"/>
      <x:c r="AC9" s="1"/>
    </x:row>
    <x:row r="10" ht="15" hidden="0" customHeight="1">
      <x:c r="A10" s="1" t="str">
        <x:v>1_30um.csv</x:v>
      </x:c>
      <x:c r="B10" s="1" t="n">
        <x:v>1</x:v>
      </x:c>
      <x:c r="C10" s="1" t="n">
        <x:v>30</x:v>
      </x:c>
      <x:c r="D10" s="1" t="n">
        <x:v>0.0007068583470577036</x:v>
      </x:c>
      <x:c r="E10" s="1" t="n">
        <x:v>300</x:v>
      </x:c>
      <x:c r="F10" s="1" t="n">
        <x:v>-5.3562318624300945e-11</x:v>
      </x:c>
      <x:c r="G10" s="1" t="n">
        <x:v>-6.909328137569907e-11</x:v>
      </x:c>
      <x:c r="H10" s="1" t="n">
        <x:v>0.000018504213562318625</x:v>
      </x:c>
      <x:c r="I10" s="1" t="n">
        <x:v>-9.774699791450395e-8</x:v>
      </x:c>
      <x:c r="J10" s="1" t="n">
        <x:v>0.026178107168631982</x:v>
      </x:c>
      <x:c r="K10" s="1" t="n">
        <x:v>71232.49211094178</x:v>
      </x:c>
      <x:c r="L10" s="1" t="n">
        <x:v>267814.94805118314</x:v>
      </x:c>
      <x:c r="M10" s="1" t="n">
        <x:v>267814.94805118314</x:v>
      </x:c>
      <x:c r="N10" s="1" t="n">
        <x:v>4.0236244576350975e-9</x:v>
      </x:c>
      <x:c r="O10" s="1" t="n">
        <x:v>248532140.74251708</x:v>
      </x:c>
      <x:c r="P10" s="1" t="n">
        <x:v>0.6061975609083827</x:v>
      </x:c>
      <x:c r="Q10" s="1" t="n">
        <x:v>0.1</x:v>
      </x:c>
      <x:c r="R10" s="1" t="n">
        <x:v>0.35</x:v>
      </x:c>
      <x:c r="S10" s="1" t="n">
        <x:v>0.9884054577022158</x:v>
      </x:c>
      <x:c r="T10" s="1" t="n">
        <x:v>1.2935880658052235</x:v>
      </x:c>
      <x:c r="U10" s="1" t="n">
        <x:v>8.31211449937274e-11</x:v>
      </x:c>
      <x:c r="V10" s="1" t="n">
        <x:v>0.8293865856770551</x:v>
      </x:c>
      <x:c r="W10" s="1" t="str">
        <x:v>Schottky-like</x:v>
      </x:c>
      <x:c r="X10" s="1" t="n">
        <x:v>6.416237376534929</x:v>
      </x:c>
      <x:c r="Y10" s="1" t="n">
        <x:v>-4.821637252525522</x:v>
      </x:c>
      <x:c r="Z10" s="1" t="str">
        <x:v>Restarted sweep</x:v>
      </x:c>
      <x:c r="AA10" s="1" t="str"/>
      <x:c r="AB10" s="1"/>
      <x:c r="AC10" s="1"/>
    </x:row>
    <x:row r="11" ht="15" hidden="0" customHeight="1">
      <x:c r="A11" s="1" t="str">
        <x:v>1_35um.csv</x:v>
      </x:c>
      <x:c r="B11" s="1" t="n">
        <x:v>1</x:v>
      </x:c>
      <x:c r="C11" s="1" t="n">
        <x:v>35</x:v>
      </x:c>
      <x:c r="D11" s="1" t="n">
        <x:v>0.0007068583470577036</x:v>
      </x:c>
      <x:c r="E11" s="1" t="n">
        <x:v>300</x:v>
      </x:c>
      <x:c r="F11" s="1" t="n">
        <x:v>2.4093984925879045e-9</x:v>
      </x:c>
      <x:c r="G11" s="1" t="n">
        <x:v>-0.000002915472398492588</x:v>
      </x:c>
      <x:c r="H11" s="1" t="n">
        <x:v>0.000014215040601507413</x:v>
      </x:c>
      <x:c r="I11" s="1" t="n">
        <x:v>-0.004124549721494039</x:v>
      </x:c>
      <x:c r="J11" s="1" t="n">
        <x:v>0.020110168693172385</x:v>
      </x:c>
      <x:c r="K11" s="1" t="n">
        <x:v>2.724021701964491</x:v>
      </x:c>
      <x:c r="L11" s="1" t="n">
        <x:v>4.875724636891483</x:v>
      </x:c>
      <x:c r="M11" s="1" t="n">
        <x:v>4.875724636891483</x:v>
      </x:c>
      <x:c r="N11" s="1" t="n">
        <x:v>0.000003754688123963592</x:v>
      </x:c>
      <x:c r="O11" s="1" t="n">
        <x:v>266333.7052197991</x:v>
      </x:c>
      <x:c r="P11" s="1" t="n">
        <x:v>0.9967086175078834</x:v>
      </x:c>
      <x:c r="Q11" s="1" t="n">
        <x:v>0.28</x:v>
      </x:c>
      <x:c r="R11" s="1" t="n">
        <x:v>0.45000000000000007</x:v>
      </x:c>
      <x:c r="S11" s="1" t="n">
        <x:v>0.9976928982700588</x:v>
      </x:c>
      <x:c r="T11" s="1" t="n">
        <x:v>8.679412255995983</x:v>
      </x:c>
      <x:c r="U11" s="1" t="n">
        <x:v>4.791335865445413e-7</x:v>
      </x:c>
      <x:c r="V11" s="1" t="n">
        <x:v>0.6055228583488095</x:v>
      </x:c>
      <x:c r="W11" s="1" t="str">
        <x:v>Nonideal/weakly rectifying</x:v>
      </x:c>
      <x:c r="X11" s="1" t="n">
        <x:v>1.6855625721237995</x:v>
      </x:c>
      <x:c r="Y11" s="1" t="n">
        <x:v>0.30866944723410905</x:v>
      </x:c>
      <x:c r="Z11" s="1" t="str">
        <x:v>OK</x:v>
      </x:c>
      <x:c r="AA11" s="1" t="str">
        <x:v>Most Ohmic-like</x:v>
      </x:c>
      <x:c r="AB11" s="1"/>
      <x:c r="AC11" s="1"/>
    </x:row>
    <x:row r="12" ht="15" hidden="0" customHeight="1">
      <x:c r="A12" s="1" t="str">
        <x:v>2_10um.csv</x:v>
      </x:c>
      <x:c r="B12" s="1" t="n">
        <x:v>2</x:v>
      </x:c>
      <x:c r="C12" s="1" t="n">
        <x:v>10</x:v>
      </x:c>
      <x:c r="D12" s="1" t="n">
        <x:v>0.0007068583470577036</x:v>
      </x:c>
      <x:c r="E12" s="1" t="n">
        <x:v>300</x:v>
      </x:c>
      <x:c r="F12" s="1" t="n">
        <x:v>2.42188515920689e-9</x:v>
      </x:c>
      <x:c r="G12" s="1" t="n">
        <x:v>-8.846538851592069e-7</x:v>
      </x:c>
      <x:c r="H12" s="1" t="n">
        <x:v>0.00003214570048475352</x:v>
      </x:c>
      <x:c r="I12" s="1" t="n">
        <x:v>-0.0012515292333203348</x:v>
      </x:c>
      <x:c r="J12" s="1" t="n">
        <x:v>0.04547686338933384</x:v>
      </x:c>
      <x:c r="K12" s="1" t="n">
        <x:v>7.743407498210201</x:v>
      </x:c>
      <x:c r="L12" s="1" t="n">
        <x:v>36.337036465926346</x:v>
      </x:c>
      <x:c r="M12" s="1" t="n">
        <x:v>36.337036465926346</x:v>
      </x:c>
      <x:c r="N12" s="1" t="n">
        <x:v>0.000002327515159796642</x:v>
      </x:c>
      <x:c r="O12" s="1" t="n">
        <x:v>429642.7440186346</x:v>
      </x:c>
      <x:c r="P12" s="1" t="n">
        <x:v>0.9840892622096757</x:v>
      </x:c>
      <x:c r="Q12" s="1" t="n">
        <x:v>0.26</x:v>
      </x:c>
      <x:c r="R12" s="1" t="n">
        <x:v>0.4900000000000001</x:v>
      </x:c>
      <x:c r="S12" s="1" t="n">
        <x:v>0.999811499785326</x:v>
      </x:c>
      <x:c r="T12" s="1" t="n">
        <x:v>6.44717837785226</x:v>
      </x:c>
      <x:c r="U12" s="1" t="n">
        <x:v>2.460743686858369e-7</x:v>
      </x:c>
      <x:c r="V12" s="1" t="n">
        <x:v>0.6227492257656148</x:v>
      </x:c>
      <x:c r="W12" s="1" t="str">
        <x:v>Schottky-like</x:v>
      </x:c>
      <x:c r="X12" s="1" t="n">
        <x:v>2.5600856636399354</x:v>
      </x:c>
      <x:c r="Y12" s="1" t="n">
        <x:v>-0.5762602425186023</x:v>
      </x:c>
      <x:c r="Z12" s="1" t="str">
        <x:v>OK</x:v>
      </x:c>
      <x:c r="AA12" s="1" t="str"/>
      <x:c r="AB12" s="1"/>
      <x:c r="AC12" s="1"/>
    </x:row>
    <x:row r="13" ht="15" hidden="0" customHeight="1">
      <x:c r="A13" s="1" t="str">
        <x:v>2_15um.csv</x:v>
      </x:c>
      <x:c r="B13" s="1" t="n">
        <x:v>2</x:v>
      </x:c>
      <x:c r="C13" s="1" t="n">
        <x:v>15</x:v>
      </x:c>
      <x:c r="D13" s="1" t="n">
        <x:v>0.0007068583470577036</x:v>
      </x:c>
      <x:c r="E13" s="1" t="n">
        <x:v>300</x:v>
      </x:c>
      <x:c r="F13" s="1" t="n">
        <x:v>1.545705183423462e-9</x:v>
      </x:c>
      <x:c r="G13" s="1" t="n">
        <x:v>-1.1428490518342346e-7</x:v>
      </x:c>
      <x:c r="H13" s="1" t="n">
        <x:v>0.00004028686429481658</x:v>
      </x:c>
      <x:c r="I13" s="1" t="n">
        <x:v>-0.00016168006738427032</x:v>
      </x:c>
      <x:c r="J13" s="1" t="n">
        <x:v>0.05699425417059947</x:v>
      </x:c>
      <x:c r="K13" s="1" t="n">
        <x:v>123.70602580178607</x:v>
      </x:c>
      <x:c r="L13" s="1" t="n">
        <x:v>352.5125582434312</x:v>
      </x:c>
      <x:c r="M13" s="1" t="n">
        <x:v>352.5125582434312</x:v>
      </x:c>
      <x:c r="N13" s="1" t="n">
        <x:v>4.886357188896412e-7</x:v>
      </x:c>
      <x:c r="O13" s="1" t="n">
        <x:v>2046514.3282451092</x:v>
      </x:c>
      <x:c r="P13" s="1" t="n">
        <x:v>0.9136336752733232</x:v>
      </x:c>
      <x:c r="Q13" s="1" t="n">
        <x:v>0.2</x:v>
      </x:c>
      <x:c r="R13" s="1" t="n">
        <x:v>0.37</x:v>
      </x:c>
      <x:c r="S13" s="1" t="n">
        <x:v>0.9971958258072185</x:v>
      </x:c>
      <x:c r="T13" s="1" t="n">
        <x:v>3.173306797752</x:v>
      </x:c>
      <x:c r="U13" s="1" t="n">
        <x:v>4.151499234050078e-8</x:v>
      </x:c>
      <x:c r="V13" s="1" t="n">
        <x:v>0.6687549063141403</x:v>
      </x:c>
      <x:c r="W13" s="1" t="str">
        <x:v>Schottky-like</x:v>
      </x:c>
      <x:c r="X13" s="1" t="n">
        <x:v>3.5443320516577437</x:v>
      </x:c>
      <x:c r="Y13" s="1" t="n">
        <x:v>-1.6335409180503342</x:v>
      </x:c>
      <x:c r="Z13" s="1" t="str">
        <x:v>OK</x:v>
      </x:c>
      <x:c r="AA13" s="1" t="str"/>
      <x:c r="AB13" s="1"/>
      <x:c r="AC13" s="1"/>
    </x:row>
    <x:row r="14" ht="15" hidden="0" customHeight="1">
      <x:c r="A14" s="1" t="str">
        <x:v>2_20um.csv</x:v>
      </x:c>
      <x:c r="B14" s="1" t="n">
        <x:v>2</x:v>
      </x:c>
      <x:c r="C14" s="1" t="n">
        <x:v>20</x:v>
      </x:c>
      <x:c r="D14" s="1" t="n">
        <x:v>0.0007068583470577036</x:v>
      </x:c>
      <x:c r="E14" s="1" t="n">
        <x:v>300</x:v>
      </x:c>
      <x:c r="F14" s="1" t="n">
        <x:v>8.514599155792085e-10</x:v>
      </x:c>
      <x:c r="G14" s="1" t="n">
        <x:v>-1.3826199915579209e-8</x:v>
      </x:c>
      <x:c r="H14" s="1" t="n">
        <x:v>0.00007834441854008442</x:v>
      </x:c>
      <x:c r="I14" s="1" t="n">
        <x:v>-0.00001956007165103268</x:v>
      </x:c>
      <x:c r="J14" s="1" t="n">
        <x:v>0.11083467977168678</x:v>
      </x:c>
      <x:c r="K14" s="1" t="n">
        <x:v>2009.762358559868</x:v>
      </x:c>
      <x:c r="L14" s="1" t="n">
        <x:v>5666.373914629051</x:v>
      </x:c>
      <x:c r="M14" s="1" t="n">
        <x:v>5666.373914629051</x:v>
      </x:c>
      <x:c r="N14" s="1" t="n">
        <x:v>2.59160536463916e-7</x:v>
      </x:c>
      <x:c r="O14" s="1" t="n">
        <x:v>3858612.170064072</x:v>
      </x:c>
      <x:c r="P14" s="1" t="n">
        <x:v>0.7019513481442892</x:v>
      </x:c>
      <x:c r="Q14" s="1" t="n">
        <x:v>0.30000000000000004</x:v>
      </x:c>
      <x:c r="R14" s="1" t="n">
        <x:v>0.4700000000000001</x:v>
      </x:c>
      <x:c r="S14" s="1" t="n">
        <x:v>0.9904850211125177</x:v>
      </x:c>
      <x:c r="T14" s="1" t="n">
        <x:v>4.822651727457188</x:v>
      </x:c>
      <x:c r="U14" s="1" t="n">
        <x:v>3.9091361971166146e-7</x:v>
      </x:c>
      <x:c r="V14" s="1" t="n">
        <x:v>0.6107835549649983</x:v>
      </x:c>
      <x:c r="W14" s="1" t="str">
        <x:v>Schottky-like</x:v>
      </x:c>
      <x:c r="X14" s="1" t="n">
        <x:v>4.743779382452988</x:v>
      </x:c>
      <x:c r="Y14" s="1" t="n">
        <x:v>-3.0513538813592413</x:v>
      </x:c>
      <x:c r="Z14" s="1" t="str">
        <x:v>OK</x:v>
      </x:c>
      <x:c r="AA14" s="1" t="str"/>
      <x:c r="AB14" s="1"/>
      <x:c r="AC14" s="1"/>
    </x:row>
    <x:row r="15" ht="15" hidden="0" customHeight="1">
      <x:c r="A15" s="1" t="str">
        <x:v>2_25um.csv</x:v>
      </x:c>
      <x:c r="B15" s="1" t="n">
        <x:v>2</x:v>
      </x:c>
      <x:c r="C15" s="1" t="n">
        <x:v>25</x:v>
      </x:c>
      <x:c r="D15" s="1" t="n">
        <x:v>0.0007068583470577036</x:v>
      </x:c>
      <x:c r="E15" s="1" t="n">
        <x:v>300</x:v>
      </x:c>
      <x:c r="F15" s="1" t="n">
        <x:v>-1.7950852960782367e-10</x:v>
      </x:c>
      <x:c r="G15" s="1" t="n">
        <x:v>-2.5117814703921766e-9</x:v>
      </x:c>
      <x:c r="H15" s="1" t="n">
        <x:v>0.00003066319950852961</x:v>
      </x:c>
      <x:c r="I15" s="1" t="n">
        <x:v>-0.000003553443884262613</x:v>
      </x:c>
      <x:c r="J15" s="1" t="n">
        <x:v>0.04337955353595967</x:v>
      </x:c>
      <x:c r="K15" s="1" t="n">
        <x:v>4688.313222862152</x:v>
      </x:c>
      <x:c r="L15" s="1" t="n">
        <x:v>12207.749706721906</x:v>
      </x:c>
      <x:c r="M15" s="1" t="n">
        <x:v>12207.749706721906</x:v>
      </x:c>
      <x:c r="N15" s="1" t="n">
        <x:v>3.867502970014213e-8</x:v>
      </x:c>
      <x:c r="O15" s="1" t="n">
        <x:v>25856476.588467237</x:v>
      </x:c>
      <x:c r="P15" s="1" t="n">
        <x:v>0.6778905978153393</x:v>
      </x:c>
      <x:c r="Q15" s="1" t="n">
        <x:v>0.18000000000000002</x:v>
      </x:c>
      <x:c r="R15" s="1" t="n">
        <x:v>0.35</x:v>
      </x:c>
      <x:c r="S15" s="1" t="n">
        <x:v>0.9876852889297506</x:v>
      </x:c>
      <x:c r="T15" s="1" t="n">
        <x:v>2.190225517767478</x:v>
      </x:c>
      <x:c r="U15" s="1" t="n">
        <x:v>6.151455205396991e-9</x:v>
      </x:c>
      <x:c r="V15" s="1" t="n">
        <x:v>0.7181158344610173</x:v>
      </x:c>
      <x:c r="W15" s="1" t="str">
        <x:v>Schottky-like</x:v>
      </x:c>
      <x:c r="X15" s="1" t="n">
        <x:v>5.074315051169959</x:v>
      </x:c>
      <x:c r="Y15" s="1" t="n">
        <x:v>-3.408745018625752</x:v>
      </x:c>
      <x:c r="Z15" s="1" t="str">
        <x:v>Incomplete outside common window</x:v>
      </x:c>
      <x:c r="AA15" s="1" t="str"/>
      <x:c r="AB15" s="1"/>
      <x:c r="AC15" s="1"/>
    </x:row>
    <x:row r="16" ht="15" hidden="0" customHeight="1">
      <x:c r="A16" s="1" t="str">
        <x:v>2_30um.csv</x:v>
      </x:c>
      <x:c r="B16" s="1" t="n">
        <x:v>2</x:v>
      </x:c>
      <x:c r="C16" s="1" t="n">
        <x:v>30</x:v>
      </x:c>
      <x:c r="D16" s="1" t="n">
        <x:v>0.0007068583470577036</x:v>
      </x:c>
      <x:c r="E16" s="1" t="n">
        <x:v>300</x:v>
      </x:c>
      <x:c r="F16" s="1" t="n">
        <x:v>2.8901599885764934e-11</x:v>
      </x:c>
      <x:c r="G16" s="1" t="n">
        <x:v>-1.7273029988576494e-10</x:v>
      </x:c>
      <x:c r="H16" s="1" t="n">
        <x:v>0.000018397582743767206</x:v>
      </x:c>
      <x:c r="I16" s="1" t="n">
        <x:v>-2.4436338709835493e-7</x:v>
      </x:c>
      <x:c r="J16" s="1" t="n">
        <x:v>0.026027255418779597</x:v>
      </x:c>
      <x:c r="K16" s="1" t="n">
        <x:v>29896.6157684937</x:v>
      </x:c>
      <x:c r="L16" s="1" t="n">
        <x:v>106510.45448270763</x:v>
      </x:c>
      <x:c r="M16" s="1" t="n">
        <x:v>106510.45448270763</x:v>
      </x:c>
      <x:c r="N16" s="1" t="n">
        <x:v>9.140975914203002e-9</x:v>
      </x:c>
      <x:c r="O16" s="1" t="n">
        <x:v>109397509.56418417</x:v>
      </x:c>
      <x:c r="P16" s="1" t="n">
        <x:v>0.5756178963814313</x:v>
      </x:c>
      <x:c r="Q16" s="1" t="n">
        <x:v>0.30000000000000004</x:v>
      </x:c>
      <x:c r="R16" s="1" t="n">
        <x:v>0.4700000000000001</x:v>
      </x:c>
      <x:c r="S16" s="1" t="n">
        <x:v>0.9817747877091378</x:v>
      </x:c>
      <x:c r="T16" s="1" t="n">
        <x:v>4.529216008456122</x:v>
      </x:c>
      <x:c r="U16" s="1" t="n">
        <x:v>8.418118767627942e-8</x:v>
      </x:c>
      <x:c r="V16" s="1" t="n">
        <x:v>0.6504796920902758</x:v>
      </x:c>
      <x:c r="W16" s="1" t="str">
        <x:v>Schottky-like</x:v>
      </x:c>
      <x:c r="X16" s="1" t="n">
        <x:v>6.0091654545977065</x:v>
      </x:c>
      <x:c r="Y16" s="1" t="n">
        <x:v>-4.451774341452641</x:v>
      </x:c>
      <x:c r="Z16" s="1" t="str">
        <x:v>Incomplete outside common window</x:v>
      </x:c>
      <x:c r="AA16" s="1" t="str"/>
      <x:c r="AB16" s="1"/>
      <x:c r="AC16" s="1"/>
    </x:row>
    <x:row r="17" ht="15" hidden="0" customHeight="1">
      <x:c r="A17" s="1" t="str">
        <x:v>2_35um.csv</x:v>
      </x:c>
      <x:c r="B17" s="1" t="n">
        <x:v>2</x:v>
      </x:c>
      <x:c r="C17" s="1" t="n">
        <x:v>35</x:v>
      </x:c>
      <x:c r="D17" s="1" t="n">
        <x:v>0.0007068583470577036</x:v>
      </x:c>
      <x:c r="E17" s="1" t="n">
        <x:v>300</x:v>
      </x:c>
      <x:c r="F17" s="1" t="n">
        <x:v>5.092451702843916e-10</x:v>
      </x:c>
      <x:c r="G17" s="1" t="n">
        <x:v>-2.183511517028439e-8</x:v>
      </x:c>
      <x:c r="H17" s="1" t="n">
        <x:v>0.000010000360754829717</x:v>
      </x:c>
      <x:c r="I17" s="1" t="n">
        <x:v>-0.00003089036899850304</x:v>
      </x:c>
      <x:c r="J17" s="1" t="n">
        <x:v>0.014147616416296416</x:v>
      </x:c>
      <x:c r="K17" s="1" t="n">
        <x:v>220.38997178812502</x:v>
      </x:c>
      <x:c r="L17" s="1" t="n">
        <x:v>457.99441298295966</x:v>
      </x:c>
      <x:c r="M17" s="1" t="n">
        <x:v>457.99441298295966</x:v>
      </x:c>
      <x:c r="N17" s="1" t="n">
        <x:v>2.2780792649339748e-7</x:v>
      </x:c>
      <x:c r="O17" s="1" t="n">
        <x:v>4389662.885716063</x:v>
      </x:c>
      <x:c r="P17" s="1" t="n">
        <x:v>0.7761486878649335</x:v>
      </x:c>
      <x:c r="Q17" s="1" t="n">
        <x:v>0.2</x:v>
      </x:c>
      <x:c r="R17" s="1" t="n">
        <x:v>0.37</x:v>
      </x:c>
      <x:c r="S17" s="1" t="n">
        <x:v>0.9915099242017684</x:v>
      </x:c>
      <x:c r="T17" s="1" t="n">
        <x:v>3.99320857759716</x:v>
      </x:c>
      <x:c r="U17" s="1" t="n">
        <x:v>4.342712201913579e-8</x:v>
      </x:c>
      <x:c r="V17" s="1" t="n">
        <x:v>0.667590802293247</x:v>
      </x:c>
      <x:c r="W17" s="1" t="str">
        <x:v>Schottky-like</x:v>
      </x:c>
      <x:c r="X17" s="1" t="n">
        <x:v>3.652319181653463</x:v>
      </x:c>
      <x:c r="Y17" s="1" t="n">
        <x:v>-1.884711492266729</x:v>
      </x:c>
      <x:c r="Z17" s="1" t="str">
        <x:v>OK</x:v>
      </x:c>
      <x:c r="AA17" s="1" t="str"/>
      <x:c r="AB17" s="1"/>
      <x:c r="AC17" s="1"/>
    </x:row>
    <x:row r="18" ht="15" hidden="0" customHeight="1">
      <x:c r="A18" s="1" t="str">
        <x:v>3_10um.csv</x:v>
      </x:c>
      <x:c r="B18" s="1" t="n">
        <x:v>3</x:v>
      </x:c>
      <x:c r="C18" s="1" t="n">
        <x:v>10</x:v>
      </x:c>
      <x:c r="D18" s="1" t="n">
        <x:v>0.0007068583470577036</x:v>
      </x:c>
      <x:c r="E18" s="1" t="n">
        <x:v>300</x:v>
      </x:c>
      <x:c r="F18" s="1" t="n">
        <x:v>-0.0000017915611527346971</x:v>
      </x:c>
      <x:c r="G18" s="1" t="n">
        <x:v>-2.8784084726530286e-7</x:v>
      </x:c>
      <x:c r="H18" s="1" t="n">
        <x:v>0.0000561008311527347</x:v>
      </x:c>
      <x:c r="I18" s="1" t="n">
        <x:v>-0.0004072114992536196</x:v>
      </x:c>
      <x:c r="J18" s="1" t="n">
        <x:v>0.07936644079574683</x:v>
      </x:c>
      <x:c r="K18" s="1" t="n">
        <x:v>69.92271333488569</x:v>
      </x:c>
      <x:c r="L18" s="1" t="n">
        <x:v>194.90225826436154</x:v>
      </x:c>
      <x:c r="M18" s="1" t="n">
        <x:v>194.90225826436154</x:v>
      </x:c>
      <x:c r="N18" s="1" t="n">
        <x:v>5.626146984207975e-7</x:v>
      </x:c>
      <x:c r="O18" s="1" t="n">
        <x:v>1777415.3480292975</x:v>
      </x:c>
      <x:c r="P18" s="1" t="n">
        <x:v>0.9847846433350094</x:v>
      </x:c>
      <x:c r="Q18" s="1" t="n">
        <x:v>0.18000000000000002</x:v>
      </x:c>
      <x:c r="R18" s="1" t="n">
        <x:v>0.35</x:v>
      </x:c>
      <x:c r="S18" s="1" t="n">
        <x:v>0.9995303254158131</x:v>
      </x:c>
      <x:c r="T18" s="1" t="n">
        <x:v>2.4060455885709233</x:v>
      </x:c>
      <x:c r="U18" s="1" t="n">
        <x:v>1.1361917970149422e-8</x:v>
      </x:c>
      <x:c r="V18" s="1" t="n">
        <x:v>0.7022536016113762</x:v>
      </x:c>
      <x:c r="W18" s="1" t="str">
        <x:v>Schottky-like</x:v>
      </x:c>
      <x:c r="X18" s="1" t="n">
        <x:v>3.2574125332984263</x:v>
      </x:c>
      <x:c r="Y18" s="1" t="n">
        <x:v>-1.3050322278301703</x:v>
      </x:c>
      <x:c r="Z18" s="1" t="str">
        <x:v>OK</x:v>
      </x:c>
      <x:c r="AA18" s="1" t="str"/>
      <x:c r="AB18" s="1"/>
      <x:c r="AC18" s="1"/>
    </x:row>
    <x:row r="19" ht="15" hidden="0" customHeight="1">
      <x:c r="A19" s="1" t="str">
        <x:v>3_15um.csv</x:v>
      </x:c>
      <x:c r="B19" s="1" t="n">
        <x:v>3</x:v>
      </x:c>
      <x:c r="C19" s="1" t="n">
        <x:v>15</x:v>
      </x:c>
      <x:c r="D19" s="1" t="n">
        <x:v>0.0007068583470577036</x:v>
      </x:c>
      <x:c r="E19" s="1" t="n">
        <x:v>300</x:v>
      </x:c>
      <x:c r="F19" s="1" t="n">
        <x:v>-6.595217001285913e-12</x:v>
      </x:c>
      <x:c r="G19" s="1" t="n">
        <x:v>-1.1563440478299871e-7</x:v>
      </x:c>
      <x:c r="H19" s="1" t="n">
        <x:v>0.000057131116595217</x:v>
      </x:c>
      <x:c r="I19" s="1" t="n">
        <x:v>-0.0001635892187795853</x:v>
      </x:c>
      <x:c r="J19" s="1" t="n">
        <x:v>0.08082399653767286</x:v>
      </x:c>
      <x:c r="K19" s="1" t="n">
        <x:v>291.65262397411385</x:v>
      </x:c>
      <x:c r="L19" s="1" t="n">
        <x:v>494.06676760632035</x:v>
      </x:c>
      <x:c r="M19" s="1" t="n">
        <x:v>494.06676760632035</x:v>
      </x:c>
      <x:c r="N19" s="1" t="n">
        <x:v>6.6379257969249e-7</x:v>
      </x:c>
      <x:c r="O19" s="1" t="n">
        <x:v>1506494.695170082</x:v>
      </x:c>
      <x:c r="P19" s="1" t="n">
        <x:v>0.8137239030629231</x:v>
      </x:c>
      <x:c r="Q19" s="1" t="n">
        <x:v>0.30000000000000004</x:v>
      </x:c>
      <x:c r="R19" s="1" t="n">
        <x:v>0.4700000000000001</x:v>
      </x:c>
      <x:c r="S19" s="1" t="n">
        <x:v>0.9894396079457607</x:v>
      </x:c>
      <x:c r="T19" s="1" t="n">
        <x:v>7.075776004793835</x:v>
      </x:c>
      <x:c r="U19" s="1" t="n">
        <x:v>0.0000014165459532487224</x:v>
      </x:c>
      <x:c r="V19" s="1" t="n">
        <x:v>0.577499359985528</x:v>
      </x:c>
      <x:c r="W19" s="1" t="str">
        <x:v>Schottky-like</x:v>
      </x:c>
      <x:c r="X19" s="1" t="n">
        <x:v>3.683225135444796</x:v>
      </x:c>
      <x:c r="Y19" s="1" t="n">
        <x:v>-1.880061739876128</x:v>
      </x:c>
      <x:c r="Z19" s="1" t="str">
        <x:v>OK</x:v>
      </x:c>
      <x:c r="AA19" s="1" t="str"/>
      <x:c r="AB19" s="1"/>
      <x:c r="AC19" s="1"/>
    </x:row>
    <x:row r="20" ht="15" hidden="0" customHeight="1">
      <x:c r="A20" s="1" t="str">
        <x:v>3_20um.csv</x:v>
      </x:c>
      <x:c r="B20" s="1" t="n">
        <x:v>3</x:v>
      </x:c>
      <x:c r="C20" s="1" t="n">
        <x:v>20</x:v>
      </x:c>
      <x:c r="D20" s="1" t="n">
        <x:v>0.0007068583470577036</x:v>
      </x:c>
      <x:c r="E20" s="1" t="n">
        <x:v>300</x:v>
      </x:c>
      <x:c r="F20" s="1" t="n">
        <x:v>7.682067587793499e-11</x:v>
      </x:c>
      <x:c r="G20" s="1" t="n">
        <x:v>-2.49623075877935e-10</x:v>
      </x:c>
      <x:c r="H20" s="1" t="n">
        <x:v>0.00003935680106473735</x:v>
      </x:c>
      <x:c r="I20" s="1" t="n">
        <x:v>-3.531444127624587e-7</x:v>
      </x:c>
      <x:c r="J20" s="1" t="n">
        <x:v>0.05567848385544282</x:v>
      </x:c>
      <x:c r="K20" s="1" t="n">
        <x:v>54134.600406897385</x:v>
      </x:c>
      <x:c r="L20" s="1" t="n">
        <x:v>157664.91509776414</x:v>
      </x:c>
      <x:c r="M20" s="1" t="n">
        <x:v>157664.91509776414</x:v>
      </x:c>
      <x:c r="N20" s="1" t="n">
        <x:v>6.240488301439145e-9</x:v>
      </x:c>
      <x:c r="O20" s="1" t="n">
        <x:v>160243870.62297446</x:v>
      </x:c>
      <x:c r="P20" s="1" t="n">
        <x:v>0.6679786691842349</x:v>
      </x:c>
      <x:c r="Q20" s="1" t="n">
        <x:v>0.1</x:v>
      </x:c>
      <x:c r="R20" s="1" t="n">
        <x:v>0.35</x:v>
      </x:c>
      <x:c r="S20" s="1" t="n">
        <x:v>0.9888156745675489</x:v>
      </x:c>
      <x:c r="T20" s="1" t="n">
        <x:v>1.3222846076046753</x:v>
      </x:c>
      <x:c r="U20" s="1" t="n">
        <x:v>1.547939897456789e-10</x:v>
      </x:c>
      <x:c r="V20" s="1" t="n">
        <x:v>0.8133119152927912</x:v>
      </x:c>
      <x:c r="W20" s="1" t="str">
        <x:v>Schottky-like</x:v>
      </x:c>
      <x:c r="X20" s="1" t="n">
        <x:v>6.18654878394059</x:v>
      </x:c>
      <x:c r="Y20" s="1" t="n">
        <x:v>-4.529756392092258</x:v>
      </x:c>
      <x:c r="Z20" s="1" t="str">
        <x:v>OK</x:v>
      </x:c>
      <x:c r="AA20" s="1" t="str">
        <x:v>Best Schottky-like</x:v>
      </x:c>
      <x:c r="AB20" s="1"/>
      <x:c r="AC20" s="1"/>
    </x:row>
    <x:row r="21" ht="15" hidden="0" customHeight="1">
      <x:c r="A21" s="1" t="str">
        <x:v>3_25um.csv</x:v>
      </x:c>
      <x:c r="B21" s="1" t="n">
        <x:v>3</x:v>
      </x:c>
      <x:c r="C21" s="1" t="n">
        <x:v>25</x:v>
      </x:c>
      <x:c r="D21" s="1" t="n">
        <x:v>0.0007068583470577036</x:v>
      </x:c>
      <x:c r="E21" s="1" t="n">
        <x:v>300</x:v>
      </x:c>
      <x:c r="F21" s="1" t="n">
        <x:v>-2.8869532062978356e-10</x:v>
      </x:c>
      <x:c r="G21" s="1" t="n">
        <x:v>-2.8639657937021645e-10</x:v>
      </x:c>
      <x:c r="H21" s="1" t="n">
        <x:v>0.00002890762869532063</x:v>
      </x:c>
      <x:c r="I21" s="1" t="n">
        <x:v>-4.0516827814560244e-7</x:v>
      </x:c>
      <x:c r="J21" s="1" t="n">
        <x:v>0.04089592888822573</x:v>
      </x:c>
      <x:c r="K21" s="1" t="n">
        <x:v>16306.00932518427</x:v>
      </x:c>
      <x:c r="L21" s="1" t="n">
        <x:v>100935.66326416415</x:v>
      </x:c>
      <x:c r="M21" s="1" t="n">
        <x:v>100935.66326416415</x:v>
      </x:c>
      <x:c r="N21" s="1" t="n">
        <x:v>1.745744582553644e-8</x:v>
      </x:c>
      <x:c r="O21" s="1" t="n">
        <x:v>57282148.25889466</x:v>
      </x:c>
      <x:c r="P21" s="1" t="n">
        <x:v>0.6910495279576201</x:v>
      </x:c>
      <x:c r="Q21" s="1" t="n">
        <x:v>0.1</x:v>
      </x:c>
      <x:c r="R21" s="1" t="n">
        <x:v>0.35</x:v>
      </x:c>
      <x:c r="S21" s="1" t="n">
        <x:v>0.9950888279216269</x:v>
      </x:c>
      <x:c r="T21" s="1" t="n">
        <x:v>1.5284887744091056</x:v>
      </x:c>
      <x:c r="U21" s="1" t="n">
        <x:v>4.241524202696963e-10</x:v>
      </x:c>
      <x:c r="V21" s="1" t="n">
        <x:v>0.7872531579874731</x:v>
      </x:c>
      <x:c r="W21" s="1" t="str">
        <x:v>Schottky-like</x:v>
      </x:c>
      <x:c r="X21" s="1" t="n">
        <x:v>5.999123482285605</x:v>
      </x:c>
      <x:c r="Y21" s="1" t="n">
        <x:v>-4.31299511322761</x:v>
      </x:c>
      <x:c r="Z21" s="1" t="str">
        <x:v>Incomplete outside common window</x:v>
      </x:c>
      <x:c r="AA21" s="1" t="str"/>
      <x:c r="AB21" s="1"/>
      <x:c r="AC21" s="1"/>
    </x:row>
    <x:row r="22" ht="15" hidden="0" customHeight="1">
      <x:c r="A22" s="1" t="str">
        <x:v>3_30um.csv</x:v>
      </x:c>
      <x:c r="B22" s="1" t="n">
        <x:v>3</x:v>
      </x:c>
      <x:c r="C22" s="1" t="n">
        <x:v>30</x:v>
      </x:c>
      <x:c r="D22" s="1" t="n">
        <x:v>0.0007068583470577036</x:v>
      </x:c>
      <x:c r="E22" s="1" t="n">
        <x:v>300</x:v>
      </x:c>
      <x:c r="F22" s="1" t="n">
        <x:v>7.375826725720796e-10</x:v>
      </x:c>
      <x:c r="G22" s="1" t="n">
        <x:v>-3.765690267257208e-8</x:v>
      </x:c>
      <x:c r="H22" s="1" t="n">
        <x:v>0.000019259562417327428</x:v>
      </x:c>
      <x:c r="I22" s="1" t="n">
        <x:v>-0.000053273619572179995</x:v>
      </x:c>
      <x:c r="J22" s="1" t="n">
        <x:v>0.02724670720448491</x:v>
      </x:c>
      <x:c r="K22" s="1" t="n">
        <x:v>243.8786130984363</x:v>
      </x:c>
      <x:c r="L22" s="1" t="n">
        <x:v>511.4483945955384</x:v>
      </x:c>
      <x:c r="M22" s="1" t="n">
        <x:v>511.4483945955384</x:v>
      </x:c>
      <x:c r="N22" s="1" t="n">
        <x:v>3.5629324585619905e-7</x:v>
      </x:c>
      <x:c r="O22" s="1" t="n">
        <x:v>2806676.8360902434</x:v>
      </x:c>
      <x:c r="P22" s="1" t="n">
        <x:v>0.7973746339693304</x:v>
      </x:c>
      <x:c r="Q22" s="1" t="n">
        <x:v>0.30000000000000004</x:v>
      </x:c>
      <x:c r="R22" s="1" t="n">
        <x:v>0.4700000000000001</x:v>
      </x:c>
      <x:c r="S22" s="1" t="n">
        <x:v>0.9896362451034867</x:v>
      </x:c>
      <x:c r="T22" s="1" t="n">
        <x:v>6.408455964947205</x:v>
      </x:c>
      <x:c r="U22" s="1" t="n">
        <x:v>3.032853977155241e-7</x:v>
      </x:c>
      <x:c r="V22" s="1" t="n">
        <x:v>0.6173451116608489</x:v>
      </x:c>
      <x:c r="W22" s="1" t="str">
        <x:v>Schottky-like</x:v>
      </x:c>
      <x:c r="X22" s="1" t="n">
        <x:v>3.698399767868027</x:v>
      </x:c>
      <x:c r="Y22" s="1" t="n">
        <x:v>-1.9114271857542264</x:v>
      </x:c>
      <x:c r="Z22" s="1" t="str">
        <x:v>Incomplete outside common window</x:v>
      </x:c>
      <x:c r="AA22" s="1" t="str"/>
      <x:c r="AB22" s="1"/>
      <x:c r="AC22" s="1"/>
    </x:row>
    <x:row r="23" ht="15" hidden="0" customHeight="1">
      <x:c r="A23" s="1" t="str">
        <x:v>3_35um.csv</x:v>
      </x:c>
      <x:c r="B23" s="1" t="n">
        <x:v>3</x:v>
      </x:c>
      <x:c r="C23" s="1" t="n">
        <x:v>35</x:v>
      </x:c>
      <x:c r="D23" s="1" t="n">
        <x:v>0.0007068583470577036</x:v>
      </x:c>
      <x:c r="E23" s="1" t="n">
        <x:v>300</x:v>
      </x:c>
      <x:c r="F23" s="1" t="n">
        <x:v>9.24417451681443e-11</x:v>
      </x:c>
      <x:c r="G23" s="1" t="n">
        <x:v>-6.249438745168145e-9</x:v>
      </x:c>
      <x:c r="H23" s="1" t="n">
        <x:v>0.000010961704313947215</x:v>
      </x:c>
      <x:c r="I23" s="1" t="n">
        <x:v>-0.000008841147269720193</x:v>
      </x:c>
      <x:c r="J23" s="1" t="n">
        <x:v>0.015507639344679575</x:v>
      </x:c>
      <x:c r="K23" s="1" t="n">
        <x:v>1190.9896398280905</x:v>
      </x:c>
      <x:c r="L23" s="1" t="n">
        <x:v>1754.030203499864</x:v>
      </x:c>
      <x:c r="M23" s="1" t="n">
        <x:v>1754.030203499864</x:v>
      </x:c>
      <x:c r="N23" s="1" t="n">
        <x:v>4.3162234037508685e-8</x:v>
      </x:c>
      <x:c r="O23" s="1" t="n">
        <x:v>23168402.24560628</x:v>
      </x:c>
      <x:c r="P23" s="1" t="n">
        <x:v>0.7032158087953432</x:v>
      </x:c>
      <x:c r="Q23" s="1" t="n">
        <x:v>0.30000000000000004</x:v>
      </x:c>
      <x:c r="R23" s="1" t="n">
        <x:v>0.4700000000000001</x:v>
      </x:c>
      <x:c r="S23" s="1" t="n">
        <x:v>0.9853582283812293</x:v>
      </x:c>
      <x:c r="T23" s="1" t="n">
        <x:v>5.440639523233003</x:v>
      </x:c>
      <x:c r="U23" s="1" t="n">
        <x:v>9.784733429260902e-8</x:v>
      </x:c>
      <x:c r="V23" s="1" t="n">
        <x:v>0.6465905953500509</x:v>
      </x:c>
      <x:c r="W23" s="1" t="str">
        <x:v>Schottky-like</x:v>
      </x:c>
      <x:c r="X23" s="1" t="n">
        <x:v>4.2293868626493</x:v>
      </x:c>
      <x:c r="Y23" s="1" t="n">
        <x:v>-2.540821258627146</x:v>
      </x:c>
      <x:c r="Z23" s="1" t="str">
        <x:v>OK</x:v>
      </x:c>
      <x:c r="AA23" s="1" t="str"/>
      <x:c r="AB23" s="1"/>
      <x:c r="AC23" s="1"/>
    </x:row>
    <x:row r="24" ht="15" hidden="0" customHeight="1">
      <x:c r="A24" s="1" t="str">
        <x:v>4_10um.csv</x:v>
      </x:c>
      <x:c r="B24" s="1" t="n">
        <x:v>4</x:v>
      </x:c>
      <x:c r="C24" s="1" t="n">
        <x:v>10</x:v>
      </x:c>
      <x:c r="D24" s="1" t="n">
        <x:v>0.0007068583470577036</x:v>
      </x:c>
      <x:c r="E24" s="1" t="n">
        <x:v>300</x:v>
      </x:c>
      <x:c r="F24" s="1" t="n">
        <x:v>1.6370046166599118e-9</x:v>
      </x:c>
      <x:c r="G24" s="1" t="n">
        <x:v>-9.861167616659912e-9</x:v>
      </x:c>
      <x:c r="H24" s="1" t="n">
        <x:v>0.00003494012299538334</x:v>
      </x:c>
      <x:c r="I24" s="1" t="n">
        <x:v>-0.000013950698407547993</x:v>
      </x:c>
      <x:c r="J24" s="1" t="n">
        <x:v>0.04943016255070274</x:v>
      </x:c>
      <x:c r="K24" s="1" t="n">
        <x:v>851.282263706174</x:v>
      </x:c>
      <x:c r="L24" s="1" t="n">
        <x:v>3543.2034373245906</x:v>
      </x:c>
      <x:c r="M24" s="1" t="n">
        <x:v>3543.2034373245906</x:v>
      </x:c>
      <x:c r="N24" s="1" t="n">
        <x:v>2.6817276415146264e-7</x:v>
      </x:c>
      <x:c r="O24" s="1" t="n">
        <x:v>3728939.4512680825</x:v>
      </x:c>
      <x:c r="P24" s="1" t="n">
        <x:v>0.7913018957627032</x:v>
      </x:c>
      <x:c r="Q24" s="1" t="n">
        <x:v>0.2</x:v>
      </x:c>
      <x:c r="R24" s="1" t="n">
        <x:v>0.37</x:v>
      </x:c>
      <x:c r="S24" s="1" t="n">
        <x:v>0.9941292730767659</x:v>
      </x:c>
      <x:c r="T24" s="1" t="n">
        <x:v>3.1095071702201995</x:v>
      </x:c>
      <x:c r="U24" s="1" t="n">
        <x:v>3.706883330255455e-8</x:v>
      </x:c>
      <x:c r="V24" s="1" t="n">
        <x:v>0.6716833711977015</x:v>
      </x:c>
      <x:c r="W24" s="1" t="str">
        <x:v>Schottky-like</x:v>
      </x:c>
      <x:c r="X24" s="1" t="n">
        <x:v>4.54347850995741</x:v>
      </x:c>
      <x:c r="Y24" s="1" t="n">
        <x:v>-2.7580941928309946</x:v>
      </x:c>
      <x:c r="Z24" s="1" t="str">
        <x:v>OK</x:v>
      </x:c>
      <x:c r="AA24" s="1" t="str"/>
      <x:c r="AB24" s="1"/>
      <x:c r="AC24" s="1"/>
    </x:row>
    <x:row r="25" ht="15" hidden="0" customHeight="1">
      <x:c r="A25" s="1" t="str">
        <x:v>4_15um.csv</x:v>
      </x:c>
      <x:c r="B25" s="1" t="n">
        <x:v>4</x:v>
      </x:c>
      <x:c r="C25" s="1" t="n">
        <x:v>15</x:v>
      </x:c>
      <x:c r="D25" s="1" t="n">
        <x:v>0.0007068583470577036</x:v>
      </x:c>
      <x:c r="E25" s="1" t="n">
        <x:v>300</x:v>
      </x:c>
      <x:c r="F25" s="1" t="n">
        <x:v>7.01773971602522e-11</x:v>
      </x:c>
      <x:c r="G25" s="1" t="n">
        <x:v>-1.6239837397160252e-8</x:v>
      </x:c>
      <x:c r="H25" s="1" t="n">
        <x:v>0.00005298799982260284</x:v>
      </x:c>
      <x:c r="I25" s="1" t="n">
        <x:v>-0.00002297467019348154</x:v>
      </x:c>
      <x:c r="J25" s="1" t="n">
        <x:v>0.07496268530061968</x:v>
      </x:c>
      <x:c r="K25" s="1" t="n">
        <x:v>2068.3729239046584</x:v>
      </x:c>
      <x:c r="L25" s="1" t="n">
        <x:v>3262.8405400086385</x:v>
      </x:c>
      <x:c r="M25" s="1" t="n">
        <x:v>3262.8405400086385</x:v>
      </x:c>
      <x:c r="N25" s="1" t="n">
        <x:v>2.5619506884077743e-7</x:v>
      </x:c>
      <x:c r="O25" s="1" t="n">
        <x:v>3903275.7520461474</x:v>
      </x:c>
      <x:c r="P25" s="1" t="n">
        <x:v>0.6802393184773352</x:v>
      </x:c>
      <x:c r="Q25" s="1" t="n">
        <x:v>0.30000000000000004</x:v>
      </x:c>
      <x:c r="R25" s="1" t="n">
        <x:v>0.4700000000000001</x:v>
      </x:c>
      <x:c r="S25" s="1" t="n">
        <x:v>0.9887257568506884</x:v>
      </x:c>
      <x:c r="T25" s="1" t="n">
        <x:v>7.116529561713592</x:v>
      </x:c>
      <x:c r="U25" s="1" t="n">
        <x:v>0.000001357599198075954</x:v>
      </x:c>
      <x:c r="V25" s="1" t="n">
        <x:v>0.5785981639981119</x:v>
      </x:c>
      <x:c r="W25" s="1" t="str">
        <x:v>Schottky-like</x:v>
      </x:c>
      <x:c r="X25" s="1" t="n">
        <x:v>4.502320282122075</x:v>
      </x:c>
      <x:c r="Y25" s="1" t="n">
        <x:v>-2.8333565311957543</x:v>
      </x:c>
      <x:c r="Z25" s="1" t="str">
        <x:v>OK</x:v>
      </x:c>
      <x:c r="AA25" s="1" t="str"/>
      <x:c r="AB25" s="1"/>
      <x:c r="AC25" s="1"/>
    </x:row>
    <x:row r="26" ht="15" hidden="0" customHeight="1">
      <x:c r="A26" s="1" t="str">
        <x:v>4_20um.csv</x:v>
      </x:c>
      <x:c r="B26" s="1" t="n">
        <x:v>4</x:v>
      </x:c>
      <x:c r="C26" s="1" t="n">
        <x:v>20</x:v>
      </x:c>
      <x:c r="D26" s="1" t="n">
        <x:v>0.0007068583470577036</x:v>
      </x:c>
      <x:c r="E26" s="1" t="n">
        <x:v>300</x:v>
      </x:c>
      <x:c r="F26" s="1" t="n">
        <x:v>2.221237787741225e-11</x:v>
      </x:c>
      <x:c r="G26" s="1" t="n">
        <x:v>-6.585956377877412e-9</x:v>
      </x:c>
      <x:c r="H26" s="1" t="n">
        <x:v>0.00002933065778762212</x:v>
      </x:c>
      <x:c r="I26" s="1" t="n">
        <x:v>-0.000009317222333571417</x:v>
      </x:c>
      <x:c r="J26" s="1" t="n">
        <x:v>0.041494392631438705</x:v>
      </x:c>
      <x:c r="K26" s="1" t="n">
        <x:v>4171.851966815799</x:v>
      </x:c>
      <x:c r="L26" s="1" t="n">
        <x:v>4453.515344581601</x:v>
      </x:c>
      <x:c r="M26" s="1" t="n">
        <x:v>4453.515344581601</x:v>
      </x:c>
      <x:c r="N26" s="1" t="n">
        <x:v>1.7305640994943115e-8</x:v>
      </x:c>
      <x:c r="O26" s="1" t="n">
        <x:v>57784626.42858535</x:v>
      </x:c>
      <x:c r="P26" s="1" t="n">
        <x:v>0.704740646002056</x:v>
      </x:c>
      <x:c r="Q26" s="1" t="n">
        <x:v>0.1</x:v>
      </x:c>
      <x:c r="R26" s="1" t="n">
        <x:v>0.35</x:v>
      </x:c>
      <x:c r="S26" s="1" t="n">
        <x:v>0.9926556336004002</x:v>
      </x:c>
      <x:c r="T26" s="1" t="n">
        <x:v>1.5225586723104199</x:v>
      </x:c>
      <x:c r="U26" s="1" t="n">
        <x:v>4.28411298503684e-10</x:v>
      </x:c>
      <x:c r="V26" s="1" t="n">
        <x:v>0.7869948748056022</x:v>
      </x:c>
      <x:c r="W26" s="1" t="str">
        <x:v>Schottky-like</x:v>
      </x:c>
      <x:c r="X26" s="1" t="n">
        <x:v>4.641357829306573</x:v>
      </x:c>
      <x:c r="Y26" s="1" t="n">
        <x:v>-2.943962307013347</x:v>
      </x:c>
      <x:c r="Z26" s="1" t="str">
        <x:v>OK</x:v>
      </x:c>
      <x:c r="AA26" s="1" t="str"/>
      <x:c r="AB26" s="1"/>
      <x:c r="AC26" s="1"/>
    </x:row>
    <x:row r="27" ht="15" hidden="0" customHeight="1">
      <x:c r="A27" s="1" t="str">
        <x:v>4_25um.csv</x:v>
      </x:c>
      <x:c r="B27" s="1" t="n">
        <x:v>4</x:v>
      </x:c>
      <x:c r="C27" s="1" t="n">
        <x:v>25</x:v>
      </x:c>
      <x:c r="D27" s="1" t="n">
        <x:v>0.0007068583470577036</x:v>
      </x:c>
      <x:c r="E27" s="1" t="n">
        <x:v>300</x:v>
      </x:c>
      <x:c r="F27" s="1" t="n">
        <x:v>-1.1373953005569512e-10</x:v>
      </x:c>
      <x:c r="G27" s="1" t="n">
        <x:v>-1.029683469944305e-9</x:v>
      </x:c>
      <x:c r="H27" s="1" t="n">
        <x:v>0.000029930263739530056</x:v>
      </x:c>
      <x:c r="I27" s="1" t="n">
        <x:v>-0.0000014567041249924546</x:v>
      </x:c>
      <x:c r="J27" s="1" t="n">
        <x:v>0.04234266153058065</x:v>
      </x:c>
      <x:c r="K27" s="1" t="n">
        <x:v>10135.444743820259</x:v>
      </x:c>
      <x:c r="L27" s="1" t="n">
        <x:v>29067.4412216688</x:v>
      </x:c>
      <x:c r="M27" s="1" t="n">
        <x:v>29067.4412216688</x:v>
      </x:c>
      <x:c r="N27" s="1" t="n">
        <x:v>2.029314151557884e-8</x:v>
      </x:c>
      <x:c r="O27" s="1" t="n">
        <x:v>49277732.539947554</x:v>
      </x:c>
      <x:c r="P27" s="1" t="n">
        <x:v>0.6629237431336383</x:v>
      </x:c>
      <x:c r="Q27" s="1" t="n">
        <x:v>0.16000000000000003</x:v>
      </x:c>
      <x:c r="R27" s="1" t="n">
        <x:v>0.35</x:v>
      </x:c>
      <x:c r="S27" s="1" t="n">
        <x:v>0.9903863623345026</x:v>
      </x:c>
      <x:c r="T27" s="1" t="n">
        <x:v>1.8230891775798777</x:v>
      </x:c>
      <x:c r="U27" s="1" t="n">
        <x:v>1.606922663263171e-9</x:v>
      </x:c>
      <x:c r="V27" s="1" t="n">
        <x:v>0.7528187242620232</x:v>
      </x:c>
      <x:c r="W27" s="1" t="str">
        <x:v>Schottky-like</x:v>
      </x:c>
      <x:c r="X27" s="1" t="n">
        <x:v>5.453789365119116</x:v>
      </x:c>
      <x:c r="Y27" s="1" t="n">
        <x:v>-3.8004830598022545</x:v>
      </x:c>
      <x:c r="Z27" s="1" t="str">
        <x:v>Incomplete outside common window</x:v>
      </x:c>
      <x:c r="AA27" s="1" t="str"/>
      <x:c r="AB27" s="1"/>
      <x:c r="AC27" s="1"/>
    </x:row>
    <x:row r="28" ht="15" hidden="0" customHeight="1">
      <x:c r="A28" s="1" t="str">
        <x:v>4_30um.csv</x:v>
      </x:c>
      <x:c r="B28" s="1" t="n">
        <x:v>4</x:v>
      </x:c>
      <x:c r="C28" s="1" t="n">
        <x:v>30</x:v>
      </x:c>
      <x:c r="D28" s="1" t="n">
        <x:v>0.0007068583470577036</x:v>
      </x:c>
      <x:c r="E28" s="1" t="n">
        <x:v>300</x:v>
      </x:c>
      <x:c r="F28" s="1" t="n">
        <x:v>8.069097644873066e-10</x:v>
      </x:c>
      <x:c r="G28" s="1" t="n">
        <x:v>-2.996349976448731e-8</x:v>
      </x:c>
      <x:c r="H28" s="1" t="n">
        <x:v>0.000015562833090235514</x:v>
      </x:c>
      <x:c r="I28" s="1" t="n">
        <x:v>-0.000042389680887564406</x:v>
      </x:c>
      <x:c r="J28" s="1" t="n">
        <x:v>0.02201690502066754</x:v>
      </x:c>
      <x:c r="K28" s="1" t="n">
        <x:v>289.85251229592836</x:v>
      </x:c>
      <x:c r="L28" s="1" t="n">
        <x:v>519.3930352782273</x:v>
      </x:c>
      <x:c r="M28" s="1" t="n">
        <x:v>519.3930352782273</x:v>
      </x:c>
      <x:c r="N28" s="1" t="n">
        <x:v>2.518110664959212e-7</x:v>
      </x:c>
      <x:c r="O28" s="1" t="n">
        <x:v>3971231.343862315</x:v>
      </x:c>
      <x:c r="P28" s="1" t="n">
        <x:v>0.7374392039039543</x:v>
      </x:c>
      <x:c r="Q28" s="1" t="n">
        <x:v>0.30000000000000004</x:v>
      </x:c>
      <x:c r="R28" s="1" t="n">
        <x:v>0.4700000000000001</x:v>
      </x:c>
      <x:c r="S28" s="1" t="n">
        <x:v>0.9918584917657185</x:v>
      </x:c>
      <x:c r="T28" s="1" t="n">
        <x:v>6.793138085344923</x:v>
      </x:c>
      <x:c r="U28" s="1" t="n">
        <x:v>3.1512586096274586e-7</x:v>
      </x:c>
      <x:c r="V28" s="1" t="n">
        <x:v>0.6163550356821335</x:v>
      </x:c>
      <x:c r="W28" s="1" t="str">
        <x:v>Schottky-like</x:v>
      </x:c>
      <x:c r="X28" s="1" t="n">
        <x:v>3.707302764978674</x:v>
      </x:c>
      <x:c r="Y28" s="1" t="n">
        <x:v>-1.978056917822688</x:v>
      </x:c>
      <x:c r="Z28" s="1" t="str">
        <x:v>Incomplete outside common window</x:v>
      </x:c>
      <x:c r="AA28" s="1" t="str"/>
      <x:c r="AB28" s="1"/>
      <x:c r="AC28" s="1"/>
    </x:row>
    <x:row r="29" ht="15" hidden="0" customHeight="1">
      <x:c r="A29" s="1" t="str">
        <x:v>4_35um.csv</x:v>
      </x:c>
      <x:c r="B29" s="1" t="n">
        <x:v>4</x:v>
      </x:c>
      <x:c r="C29" s="1" t="n">
        <x:v>35</x:v>
      </x:c>
      <x:c r="D29" s="1" t="n">
        <x:v>0.0007068583470577036</x:v>
      </x:c>
      <x:c r="E29" s="1" t="n">
        <x:v>300</x:v>
      </x:c>
      <x:c r="F29" s="1" t="n">
        <x:v>1.247357e-10</x:v>
      </x:c>
      <x:c r="G29" s="1" t="n">
        <x:v>-1.6269875e-10</x:v>
      </x:c>
      <x:c r="H29" s="1" t="n">
        <x:v>0.000010444151452016108</x:v>
      </x:c>
      <x:c r="I29" s="1" t="n">
        <x:v>-2.3017164708775557e-7</x:v>
      </x:c>
      <x:c r="J29" s="1" t="n">
        <x:v>0.014775451822122306</x:v>
      </x:c>
      <x:c r="K29" s="1" t="n">
        <x:v>21854.719989778274</x:v>
      </x:c>
      <x:c r="L29" s="1" t="n">
        <x:v>64193.18803627015</x:v>
      </x:c>
      <x:c r="M29" s="1" t="n">
        <x:v>64193.18803627015</x:v>
      </x:c>
      <x:c r="N29" s="1" t="n">
        <x:v>5.976639909857197e-9</x:v>
      </x:c>
      <x:c r="O29" s="1" t="n">
        <x:v>167318094.29420578</x:v>
      </x:c>
      <x:c r="P29" s="1" t="n">
        <x:v>0.6097415518975174</x:v>
      </x:c>
      <x:c r="Q29" s="1" t="n">
        <x:v>0.28</x:v>
      </x:c>
      <x:c r="R29" s="1" t="n">
        <x:v>0.45000000000000007</x:v>
      </x:c>
      <x:c r="S29" s="1" t="n">
        <x:v>0.9796651474310064</x:v>
      </x:c>
      <x:c r="T29" s="1" t="n">
        <x:v>4.365271545527656</x:v>
      </x:c>
      <x:c r="U29" s="1" t="n">
        <x:v>4.6184035860832894e-8</x:v>
      </x:c>
      <x:c r="V29" s="1" t="n">
        <x:v>0.6659996112669049</x:v>
      </x:c>
      <x:c r="W29" s="1" t="str">
        <x:v>Nonideal/weakly rectifying</x:v>
      </x:c>
      <x:c r="X29" s="1" t="n">
        <x:v>5.787142148970385</x:v>
      </x:c>
      <x:c r="Y29" s="1" t="n">
        <x:v>-4.197747392756681</x:v>
      </x:c>
      <x:c r="Z29" s="1" t="str">
        <x:v>OK</x:v>
      </x:c>
      <x:c r="AA29" s="1" t="str"/>
      <x:c r="AB29" s="1"/>
      <x:c r="AC29" s="1"/>
    </x:row>
    <x:row r="30" ht="15" hidden="0" customHeight="1">
      <x:c r="A30" s="1" t="str">
        <x:v>5_10um.csv</x:v>
      </x:c>
      <x:c r="B30" s="1" t="n">
        <x:v>5</x:v>
      </x:c>
      <x:c r="C30" s="1" t="n">
        <x:v>10</x:v>
      </x:c>
      <x:c r="D30" s="1" t="n">
        <x:v>0.0007068583470577036</x:v>
      </x:c>
      <x:c r="E30" s="1" t="n">
        <x:v>300</x:v>
      </x:c>
      <x:c r="F30" s="1" t="n">
        <x:v>7.63612938049471e-10</x:v>
      </x:c>
      <x:c r="G30" s="1" t="n">
        <x:v>-2.0153171293804946e-7</x:v>
      </x:c>
      <x:c r="H30" s="1" t="n">
        <x:v>0.000052829851292148975</x:v>
      </x:c>
      <x:c r="I30" s="1" t="n">
        <x:v>-0.0002851090515899328</x:v>
      </x:c>
      <x:c r="J30" s="1" t="n">
        <x:v>0.0747389508973801</x:v>
      </x:c>
      <x:c r="K30" s="1" t="n">
        <x:v>78.2185502102169</x:v>
      </x:c>
      <x:c r="L30" s="1" t="n">
        <x:v>262.14162784588046</x:v>
      </x:c>
      <x:c r="M30" s="1" t="n">
        <x:v>262.14162784588046</x:v>
      </x:c>
      <x:c r="N30" s="1" t="n">
        <x:v>3.72489346833459e-7</x:v>
      </x:c>
      <x:c r="O30" s="1" t="n">
        <x:v>2684640.536705343</x:v>
      </x:c>
      <x:c r="P30" s="1" t="n">
        <x:v>0.9634067801182592</x:v>
      </x:c>
      <x:c r="Q30" s="1" t="n">
        <x:v>0.14</x:v>
      </x:c>
      <x:c r="R30" s="1" t="n">
        <x:v>0.37</x:v>
      </x:c>
      <x:c r="S30" s="1" t="n">
        <x:v>0.9995609380669316</x:v>
      </x:c>
      <x:c r="T30" s="1" t="n">
        <x:v>2.6379835708153188</x:v>
      </x:c>
      <x:c r="U30" s="1" t="n">
        <x:v>1.5757367682770896e-8</x:v>
      </x:c>
      <x:c r="V30" s="1" t="n">
        <x:v>0.6937989426397292</x:v>
      </x:c>
      <x:c r="W30" s="1" t="str">
        <x:v>Schottky-like</x:v>
      </x:c>
      <x:c r="X30" s="1" t="n">
        <x:v>3.4180824758540527</x:v>
      </x:c>
      <x:c r="Y30" s="1" t="n">
        <x:v>-1.4551292118632118</x:v>
      </x:c>
      <x:c r="Z30" s="1" t="str">
        <x:v>OK</x:v>
      </x:c>
      <x:c r="AA30" s="1" t="str"/>
      <x:c r="AB30" s="1"/>
      <x:c r="AC30" s="1"/>
    </x:row>
    <x:row r="31" ht="15" hidden="0" customHeight="1">
      <x:c r="A31" s="1" t="str">
        <x:v>5_15um.csv</x:v>
      </x:c>
      <x:c r="B31" s="1" t="n">
        <x:v>5</x:v>
      </x:c>
      <x:c r="C31" s="1" t="n">
        <x:v>15</x:v>
      </x:c>
      <x:c r="D31" s="1" t="n">
        <x:v>0.0007068583470577036</x:v>
      </x:c>
      <x:c r="E31" s="1" t="n">
        <x:v>300</x:v>
      </x:c>
      <x:c r="F31" s="1" t="n">
        <x:v>1.0802941246694838e-10</x:v>
      </x:c>
      <x:c r="G31" s="1" t="n">
        <x:v>-4.897688412466948e-9</x:v>
      </x:c>
      <x:c r="H31" s="1" t="n">
        <x:v>0.000020222971970587536</x:v>
      </x:c>
      <x:c r="I31" s="1" t="n">
        <x:v>-0.00000692881173838233</x:v>
      </x:c>
      <x:c r="J31" s="1" t="n">
        <x:v>0.028609652916692027</x:v>
      </x:c>
      <x:c r="K31" s="1" t="n">
        <x:v>418.66644633950045</x:v>
      </x:c>
      <x:c r="L31" s="1" t="n">
        <x:v>4129.085043285001</x:v>
      </x:c>
      <x:c r="M31" s="1" t="n">
        <x:v>4129.085043285001</x:v>
      </x:c>
      <x:c r="N31" s="1" t="n">
        <x:v>2.766187170061501e-8</x:v>
      </x:c>
      <x:c r="O31" s="1" t="n">
        <x:v>36150843.68921308</x:v>
      </x:c>
      <x:c r="P31" s="1" t="n">
        <x:v>0.8918560099842985</x:v>
      </x:c>
      <x:c r="Q31" s="1" t="n">
        <x:v>0.14</x:v>
      </x:c>
      <x:c r="R31" s="1" t="n">
        <x:v>0.37</x:v>
      </x:c>
      <x:c r="S31" s="1" t="n">
        <x:v>0.999057637327586</x:v>
      </x:c>
      <x:c r="T31" s="1" t="n">
        <x:v>2.5501402059299503</x:v>
      </x:c>
      <x:c r="U31" s="1" t="n">
        <x:v>1.329276442732811e-9</x:v>
      </x:c>
      <x:c r="V31" s="1" t="n">
        <x:v>0.7577224917218263</x:v>
      </x:c>
      <x:c r="W31" s="1" t="str">
        <x:v>Schottky-like</x:v>
      </x:c>
      <x:c r="X31" s="1" t="n">
        <x:v>4.614906123176113</x:v>
      </x:c>
      <x:c r="Y31" s="1" t="n">
        <x:v>-2.7239978177799773</x:v>
      </x:c>
      <x:c r="Z31" s="1" t="str">
        <x:v>OK</x:v>
      </x:c>
      <x:c r="AA31" s="1" t="str"/>
      <x:c r="AB31" s="1"/>
      <x:c r="AC31" s="1"/>
    </x:row>
    <x:row r="32" ht="15" hidden="0" customHeight="1">
      <x:c r="A32" s="1" t="str">
        <x:v>5_20um.csv</x:v>
      </x:c>
      <x:c r="B32" s="1" t="n">
        <x:v>5</x:v>
      </x:c>
      <x:c r="C32" s="1" t="n">
        <x:v>20</x:v>
      </x:c>
      <x:c r="D32" s="1" t="n">
        <x:v>0.0007068583470577036</x:v>
      </x:c>
      <x:c r="E32" s="1" t="n">
        <x:v>300</x:v>
      </x:c>
      <x:c r="F32" s="1" t="n">
        <x:v>1.9983707127502663e-11</x:v>
      </x:c>
      <x:c r="G32" s="1" t="n">
        <x:v>-2.4627620712750264e-10</x:v>
      </x:c>
      <x:c r="H32" s="1" t="n">
        <x:v>0.000030162653356556144</x:v>
      </x:c>
      <x:c r="I32" s="1" t="n">
        <x:v>-3.484095620468045e-7</x:v>
      </x:c>
      <x:c r="J32" s="1" t="n">
        <x:v>0.04267142558634007</x:v>
      </x:c>
      <x:c r="K32" s="1" t="n">
        <x:v>51102.4742854888</x:v>
      </x:c>
      <x:c r="L32" s="1" t="n">
        <x:v>122474.89803568508</x:v>
      </x:c>
      <x:c r="M32" s="1" t="n">
        <x:v>122474.89803568508</x:v>
      </x:c>
      <x:c r="N32" s="1" t="n">
        <x:v>4.351489869086042e-9</x:v>
      </x:c>
      <x:c r="O32" s="1" t="n">
        <x:v>229806349.10912323</x:v>
      </x:c>
      <x:c r="P32" s="1" t="n">
        <x:v>0.6660371693042938</x:v>
      </x:c>
      <x:c r="Q32" s="1" t="n">
        <x:v>0.1</x:v>
      </x:c>
      <x:c r="R32" s="1" t="n">
        <x:v>0.35</x:v>
      </x:c>
      <x:c r="S32" s="1" t="n">
        <x:v>0.989700985266993</x:v>
      </x:c>
      <x:c r="T32" s="1" t="n">
        <x:v>1.2922642880164277</x:v>
      </x:c>
      <x:c r="U32" s="1" t="n">
        <x:v>1.0401450300058911e-10</x:v>
      </x:c>
      <x:c r="V32" s="1" t="n">
        <x:v>0.8235897602395016</x:v>
      </x:c>
      <x:c r="W32" s="1" t="str">
        <x:v>Schottky-like</x:v>
      </x:c>
      <x:c r="X32" s="1" t="n">
        <x:v>6.077747409299834</x:v>
      </x:c>
      <x:c r="Y32" s="1" t="n">
        <x:v>-4.422009917260019</x:v>
      </x:c>
      <x:c r="Z32" s="1" t="str">
        <x:v>OK</x:v>
      </x:c>
      <x:c r="AA32" s="1" t="str"/>
      <x:c r="AB32" s="1"/>
      <x:c r="AC32" s="1"/>
    </x:row>
    <x:row r="33" ht="15" hidden="0" customHeight="1">
      <x:c r="A33" s="1" t="str">
        <x:v>5_25um.csv</x:v>
      </x:c>
      <x:c r="B33" s="1" t="n">
        <x:v>5</x:v>
      </x:c>
      <x:c r="C33" s="1" t="n">
        <x:v>25</x:v>
      </x:c>
      <x:c r="D33" s="1" t="n">
        <x:v>0.0007068583470577036</x:v>
      </x:c>
      <x:c r="E33" s="1" t="n">
        <x:v>300</x:v>
      </x:c>
      <x:c r="F33" s="1" t="n">
        <x:v>-1.174996418463076e-12</x:v>
      </x:c>
      <x:c r="G33" s="1" t="n">
        <x:v>-3.027771003581537e-9</x:v>
      </x:c>
      <x:c r="H33" s="1" t="n">
        <x:v>0.00002883429670993223</x:v>
      </x:c>
      <x:c r="I33" s="1" t="n">
        <x:v>-0.000004283419749069424</x:v>
      </x:c>
      <x:c r="J33" s="1" t="n">
        <x:v>0.04079218535079189</x:v>
      </x:c>
      <x:c r="K33" s="1" t="n">
        <x:v>3445.359093661924</x:v>
      </x:c>
      <x:c r="L33" s="1" t="n">
        <x:v>9523.275266136134</x:v>
      </x:c>
      <x:c r="M33" s="1" t="n">
        <x:v>9523.275266136134</x:v>
      </x:c>
      <x:c r="N33" s="1" t="n">
        <x:v>6.797616559988312e-8</x:v>
      </x:c>
      <x:c r="O33" s="1" t="n">
        <x:v>14711038.658551807</x:v>
      </x:c>
      <x:c r="P33" s="1" t="n">
        <x:v>0.7062148025913422</x:v>
      </x:c>
      <x:c r="Q33" s="1" t="n">
        <x:v>0.18000000000000002</x:v>
      </x:c>
      <x:c r="R33" s="1" t="n">
        <x:v>0.35</x:v>
      </x:c>
      <x:c r="S33" s="1" t="n">
        <x:v>0.993990039316565</x:v>
      </x:c>
      <x:c r="T33" s="1" t="n">
        <x:v>2.2486059374036738</x:v>
      </x:c>
      <x:c r="U33" s="1" t="n">
        <x:v>5.946174708490535e-9</x:v>
      </x:c>
      <x:c r="V33" s="1" t="n">
        <x:v>0.7189932659640119</x:v>
      </x:c>
      <x:c r="W33" s="1" t="str">
        <x:v>Schottky-like</x:v>
      </x:c>
      <x:c r="X33" s="1" t="n">
        <x:v>4.972776336171562</x:v>
      </x:c>
      <x:c r="Y33" s="1" t="n">
        <x:v>-3.272571535013614</x:v>
      </x:c>
      <x:c r="Z33" s="1" t="str">
        <x:v>Incomplete outside common window</x:v>
      </x:c>
      <x:c r="AA33" s="1" t="str"/>
      <x:c r="AB33" s="1"/>
      <x:c r="AC33" s="1"/>
    </x:row>
    <x:row r="34" ht="15" hidden="0" customHeight="1">
      <x:c r="A34" s="1" t="str">
        <x:v>5_30um.csv</x:v>
      </x:c>
      <x:c r="B34" s="1" t="n">
        <x:v>5</x:v>
      </x:c>
      <x:c r="C34" s="1" t="n">
        <x:v>30</x:v>
      </x:c>
      <x:c r="D34" s="1" t="n">
        <x:v>0.0007068583470577036</x:v>
      </x:c>
      <x:c r="E34" s="1" t="n">
        <x:v>300</x:v>
      </x:c>
      <x:c r="F34" s="1" t="n">
        <x:v>7.567226453109311e-10</x:v>
      </x:c>
      <x:c r="G34" s="1" t="n">
        <x:v>-8.408096645310932e-9</x:v>
      </x:c>
      <x:c r="H34" s="1" t="n">
        <x:v>0.00002457215327735469</x:v>
      </x:c>
      <x:c r="I34" s="1" t="n">
        <x:v>-0.000011895023494183264</x:v>
      </x:c>
      <x:c r="J34" s="1" t="n">
        <x:v>0.034762485835579685</x:v>
      </x:c>
      <x:c r="K34" s="1" t="n">
        <x:v>1119.1877702700747</x:v>
      </x:c>
      <x:c r="L34" s="1" t="n">
        <x:v>2922.439443064467</x:v>
      </x:c>
      <x:c r="M34" s="1" t="n">
        <x:v>2922.439443064467</x:v>
      </x:c>
      <x:c r="N34" s="1" t="n">
        <x:v>2.4439020285397997e-7</x:v>
      </x:c>
      <x:c r="O34" s="1" t="n">
        <x:v>4091817.0545383412</x:v>
      </x:c>
      <x:c r="P34" s="1" t="n">
        <x:v>0.6917947049381616</x:v>
      </x:c>
      <x:c r="Q34" s="1" t="n">
        <x:v>0.28</x:v>
      </x:c>
      <x:c r="R34" s="1" t="n">
        <x:v>0.45000000000000007</x:v>
      </x:c>
      <x:c r="S34" s="1" t="n">
        <x:v>0.9928508308925476</x:v>
      </x:c>
      <x:c r="T34" s="1" t="n">
        <x:v>4.874272646635566</x:v>
      </x:c>
      <x:c r="U34" s="1" t="n">
        <x:v>1.5407622236515606e-7</x:v>
      </x:c>
      <x:c r="V34" s="1" t="n">
        <x:v>0.6348527797436968</x:v>
      </x:c>
      <x:c r="W34" s="1" t="str">
        <x:v>Schottky-like</x:v>
      </x:c>
      <x:c r="X34" s="1" t="n">
        <x:v>4.458565555701461</x:v>
      </x:c>
      <x:c r="Y34" s="1" t="n">
        <x:v>-2.773950815814305</x:v>
      </x:c>
      <x:c r="Z34" s="1" t="str">
        <x:v>Incomplete outside common window</x:v>
      </x:c>
      <x:c r="AA34" s="1" t="str"/>
      <x:c r="AB34" s="1"/>
      <x:c r="AC34" s="1"/>
    </x:row>
    <x:row r="35" ht="15" hidden="0" customHeight="1">
      <x:c r="A35" s="1" t="str">
        <x:v>5_35um.csv</x:v>
      </x:c>
      <x:c r="B35" s="1" t="n">
        <x:v>5</x:v>
      </x:c>
      <x:c r="C35" s="1" t="n">
        <x:v>35</x:v>
      </x:c>
      <x:c r="D35" s="1" t="n">
        <x:v>0.0007068583470577036</x:v>
      </x:c>
      <x:c r="E35" s="1" t="n">
        <x:v>300</x:v>
      </x:c>
      <x:c r="F35" s="1" t="n">
        <x:v>4.3386235984839876e-11</x:v>
      </x:c>
      <x:c r="G35" s="1" t="n">
        <x:v>-7.354865598483987e-11</x:v>
      </x:c>
      <x:c r="H35" s="1" t="n">
        <x:v>0.000009754189613764016</x:v>
      </x:c>
      <x:c r="I35" s="1" t="n">
        <x:v>-1.0405006362446732e-7</x:v>
      </x:c>
      <x:c r="J35" s="1" t="n">
        <x:v>0.013799355492321495</x:v>
      </x:c>
      <x:c r="K35" s="1" t="n">
        <x:v>189763.56753083668</x:v>
      </x:c>
      <x:c r="L35" s="1" t="n">
        <x:v>132622.2686621845</x:v>
      </x:c>
      <x:c r="M35" s="1" t="n">
        <x:v>132622.2686621845</x:v>
      </x:c>
      <x:c r="N35" s="1" t="n">
        <x:v>3.1434071428381626e-9</x:v>
      </x:c>
      <x:c r="O35" s="1" t="n">
        <x:v>318126146.10817045</x:v>
      </x:c>
      <x:c r="P35" s="1" t="n">
        <x:v>0.5965121298547607</x:v>
      </x:c>
      <x:c r="Q35" s="1" t="n">
        <x:v>0.1</x:v>
      </x:c>
      <x:c r="R35" s="1" t="n">
        <x:v>0.35</x:v>
      </x:c>
      <x:c r="S35" s="1" t="n">
        <x:v>0.9780201134466167</x:v>
      </x:c>
      <x:c r="T35" s="1" t="n">
        <x:v>1.3711059095801057</x:v>
      </x:c>
      <x:c r="U35" s="1" t="n">
        <x:v>9.246782079995862e-11</x:v>
      </x:c>
      <x:c r="V35" s="1" t="n">
        <x:v>0.8266317557630681</x:v>
      </x:c>
      <x:c r="W35" s="1" t="str">
        <x:v>Nonideal/weakly rectifying</x:v>
      </x:c>
      <x:c r="X35" s="1" t="n">
        <x:v>6.1006321182525225</x:v>
      </x:c>
      <x:c r="Y35" s="1" t="n">
        <x:v>-4.526104322910197</x:v>
      </x:c>
      <x:c r="Z35" s="1" t="str">
        <x:v>OK</x:v>
      </x:c>
      <x:c r="AA35" s="1" t="str"/>
      <x:c r="AB35" s="1"/>
      <x:c r="AC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 ht="15" hidden="0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 ht="15" hidden="0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 ht="15" hidden="0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 ht="15" hidden="0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 ht="15" hidden="0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 ht="15" hidden="0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 ht="15" hidden="0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 ht="15" hidden="0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 ht="15" hidden="0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 ht="15" hidden="0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 ht="15" hidden="0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 ht="15" hidden="0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 ht="15" hidden="0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 ht="15" hidden="0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 ht="15" hidden="0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 ht="15" hidden="0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 ht="15" hidden="0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 ht="15" hidden="0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 ht="15" hidden="0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 ht="15" hidden="0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  <x:row r="101" ht="15" hidden="0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</x:row>
    <x:row r="102" ht="15" hidden="0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</x:row>
    <x:row r="103" ht="15" hidden="0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</x:row>
    <x:row r="104" ht="15" hidden="0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</x:row>
    <x:row r="105" ht="15" hidden="0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</x:row>
    <x:row r="106" ht="15" hidden="0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</x:row>
    <x:row r="107" ht="15" hidden="0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</x:row>
    <x:row r="108" ht="15" hidden="0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</x:row>
    <x:row r="109" ht="15" hidden="0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</x:row>
    <x:row r="110" ht="15" hidden="0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</x:row>
    <x:row r="111" ht="15" hidden="0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</x:row>
    <x:row r="112" ht="15" hidden="0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</x:row>
    <x:row r="113" ht="15" hidden="0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</x:row>
    <x:row r="114" ht="15" hidden="0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</x:row>
    <x:row r="115" ht="15" hidden="0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</x:row>
    <x:row r="116" ht="15" hidden="0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</x:row>
    <x:row r="117" ht="15" hidden="0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</x:row>
    <x:row r="118" ht="15" hidden="0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</x:row>
    <x:row r="119" ht="15" hidden="0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</x:row>
    <x:row r="120" ht="15" hidden="0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</x:row>
    <x:row r="121" ht="15" hidden="0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</x:row>
    <x:row r="122" ht="15" hidden="0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</x:row>
    <x:row r="123" ht="15" hidden="0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</x:row>
    <x:row r="124" ht="15" hidden="0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</x:row>
    <x:row r="125" ht="15" hidden="0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</x:row>
    <x:row r="126" ht="15" hidden="0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</x:row>
    <x:row r="127" ht="15" hidden="0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</x:row>
    <x:row r="128" ht="15" hidden="0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</x:row>
    <x:row r="129" ht="15" hidden="0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</x:row>
    <x:row r="130" ht="15" hidden="0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</x:row>
    <x:row r="131" ht="15" hidden="0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</x:row>
    <x:row r="132" ht="15" hidden="0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</x:row>
    <x:row r="133" ht="15" hidden="0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</x:row>
    <x:row r="134" ht="15" hidden="0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</x:row>
    <x:row r="135" ht="15" hidden="0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</x:row>
    <x:row r="136" ht="15" hidden="0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</x:row>
    <x:row r="137" ht="15" hidden="0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</x:row>
    <x:row r="138" ht="15" hidden="0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</x:row>
    <x:row r="139" ht="15" hidden="0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</x:row>
    <x:row r="140" ht="15" hidden="0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</x:row>
    <x:row r="141" ht="15" hidden="0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</x:row>
    <x:row r="142" ht="15" hidden="0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</x:row>
    <x:row r="143" ht="15" hidden="0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</x:row>
    <x:row r="144" ht="15" hidden="0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</x:row>
    <x:row r="145" ht="15" hidden="0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</x:row>
    <x:row r="146" ht="15" hidden="0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</x:row>
    <x:row r="147" ht="15" hidden="0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</x:row>
    <x:row r="148" ht="15" hidden="0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</x:row>
    <x:row r="149" ht="15" hidden="0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</x:row>
    <x:row r="150" ht="15" hidden="0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</x:row>
    <x:row r="151" ht="15" hidden="0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</x:row>
    <x:row r="152" ht="15" hidden="0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</x:row>
    <x:row r="153" ht="15" hidden="0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</x:row>
    <x:row r="154" ht="15" hidden="0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</x:row>
    <x:row r="155" ht="15" hidden="0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</x:row>
    <x:row r="156" ht="15" hidden="0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</x:row>
    <x:row r="157" ht="15" hidden="0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</x:row>
    <x:row r="158" ht="15" hidden="0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</x:row>
    <x:row r="159" ht="15" hidden="0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</x:row>
    <x:row r="160" ht="15" hidden="0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</x:row>
    <x:row r="161" ht="15" hidden="0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</x:row>
    <x:row r="162" ht="15" hidden="0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</x:row>
    <x:row r="163" ht="15" hidden="0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</x:row>
    <x:row r="164" ht="15" hidden="0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</x:row>
    <x:row r="165" ht="15" hidden="0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</x:row>
    <x:row r="166" ht="15" hidden="0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</x:row>
    <x:row r="167" ht="15" hidden="0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</x:row>
    <x:row r="168" ht="15" hidden="0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</x:row>
    <x:row r="169" ht="15" hidden="0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</x:row>
    <x:row r="170" ht="15" hidden="0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</x:row>
    <x:row r="171" ht="15" hidden="0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</x:row>
    <x:row r="172" ht="15" hidden="0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</x:row>
    <x:row r="173" ht="15" hidden="0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</x:row>
    <x:row r="174" ht="15" hidden="0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</x:row>
    <x:row r="175" ht="15" hidden="0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</x:row>
    <x:row r="176" ht="15" hidden="0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</x:row>
    <x:row r="177" ht="15" hidden="0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</x:row>
    <x:row r="178" ht="15" hidden="0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</x:row>
    <x:row r="179" ht="15" hidden="0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</x:row>
    <x:row r="180" ht="15" hidden="0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</x:row>
    <x:row r="181" ht="15" hidden="0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</x:row>
    <x:row r="182" ht="15" hidden="0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</x:row>
    <x:row r="183" ht="15" hidden="0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</x:row>
    <x:row r="184" ht="15" hidden="0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</x:row>
    <x:row r="185" ht="15" hidden="0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</x:row>
    <x:row r="186" ht="15" hidden="0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</x:row>
    <x:row r="187" ht="15" hidden="0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</x:row>
    <x:row r="188" ht="15" hidden="0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</x:row>
    <x:row r="189" ht="15" hidden="0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</x:row>
    <x:row r="190" ht="15" hidden="0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</x:row>
    <x:row r="191" ht="15" hidden="0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</x:row>
    <x:row r="192" ht="15" hidden="0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</x:row>
    <x:row r="193" ht="15" hidden="0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</x:row>
    <x:row r="194" ht="15" hidden="0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</x:row>
    <x:row r="195" ht="15" hidden="0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</x:row>
    <x:row r="196" ht="15" hidden="0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</x:row>
    <x:row r="197" ht="15" hidden="0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</x:row>
    <x:row r="198" ht="15" hidden="0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</x:row>
    <x:row r="199" ht="15" hidden="0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</x:row>
    <x:row r="200" ht="15" hidden="0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</x:row>
    <x:row r="201" ht="15" hidden="0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</x:row>
    <x:row r="202" ht="15" hidden="0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</x:row>
    <x:row r="203" ht="15" hidden="0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</x:row>
    <x:row r="204" ht="15" hidden="0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</x:row>
    <x:row r="205" ht="15" hidden="0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</x:row>
    <x:row r="206" ht="15" hidden="0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</x:row>
    <x:row r="207" ht="15" hidden="0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</x:row>
    <x:row r="208" ht="15" hidden="0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</x:row>
    <x:row r="209" ht="15" hidden="0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</x:row>
    <x:row r="210" ht="15" hidden="0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</x:row>
    <x:row r="211" ht="15" hidden="0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</x:row>
    <x:row r="212" ht="15" hidden="0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</x:row>
    <x:row r="213" ht="15" hidden="0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</x:row>
    <x:row r="214" ht="15" hidden="0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</x:row>
    <x:row r="215" ht="15" hidden="0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</x:row>
    <x:row r="216" ht="15" hidden="0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</x:row>
    <x:row r="217" ht="15" hidden="0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</x:row>
    <x:row r="218" ht="15" hidden="0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</x:row>
    <x:row r="219" ht="15" hidden="0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</x:row>
    <x:row r="220" ht="15" hidden="0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</x:row>
    <x:row r="221" ht="15" hidden="0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</x:row>
    <x:row r="222" ht="15" hidden="0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</x:row>
    <x:row r="223" ht="15" hidden="0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</x:row>
    <x:row r="224" ht="15" hidden="0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</x:row>
    <x:row r="225" ht="15" hidden="0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</x:row>
    <x:row r="226" ht="15" hidden="0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</x:row>
    <x:row r="227" ht="15" hidden="0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</x:row>
    <x:row r="228" ht="15" hidden="0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</x:row>
    <x:row r="229" ht="15" hidden="0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</x:row>
    <x:row r="230" ht="15" hidden="0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</x:row>
    <x:row r="231" ht="15" hidden="0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</x:row>
    <x:row r="232" ht="15" hidden="0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</x:row>
    <x:row r="233" ht="15" hidden="0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</x:row>
    <x:row r="234" ht="15" hidden="0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</x:row>
    <x:row r="235" ht="15" hidden="0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</x:row>
    <x:row r="236" ht="15" hidden="0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</x:row>
    <x:row r="237" ht="15" hidden="0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</x:row>
    <x:row r="238" ht="15" hidden="0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</x:row>
    <x:row r="239" ht="15" hidden="0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</x:row>
    <x:row r="240" ht="15" hidden="0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.75" hidden="0" customWidth="1"/>
    <x:col min="2" max="2" width="10.880000114440918" hidden="0" customWidth="1"/>
    <x:col min="3" max="3" width="10.880000114440918" hidden="0" customWidth="1"/>
    <x:col min="4" max="4" width="10.880000114440918" hidden="0" customWidth="1"/>
    <x:col min="5" max="5" width="10.630000114440918" hidden="0" customWidth="1"/>
    <x:col min="6" max="6" width="10.880000114440918" hidden="0" customWidth="1"/>
  </x:cols>
  <x:sheetData>
    <x:row r="1" ht="15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19.200000762939453" hidden="0" customHeight="1">
      <x:c r="A2" s="2" t="str">
        <x:v>I-V curves: gap label 10 um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15" hidden="0" customHeight="1">
      <x:c r="A3" s="3" t="str">
        <x:v>Rows 1-5 compared in the -0.4 V to +0.8 V display window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15" hidden="0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</x:row>
    <x:row r="5" ht="15" hidden="0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15" hidden="0" customHeight="1">
      <x:c r="A6" s="9" t="str">
        <x:v>Voltage (V)</x:v>
      </x:c>
      <x:c r="B6" s="9" t="str">
        <x:v>Row 1</x:v>
      </x:c>
      <x:c r="C6" s="9" t="str">
        <x:v>Row 2</x:v>
      </x:c>
      <x:c r="D6" s="9" t="str">
        <x:v>Row 3</x:v>
      </x:c>
      <x:c r="E6" s="9" t="str">
        <x:v>Row 4</x:v>
      </x:c>
      <x:c r="F6" s="9" t="str">
        <x:v>Row 5</x:v>
      </x:c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15" hidden="0" customHeight="1">
      <x:c r="A7" s="1" t="n">
        <x:v>-0.3899989</x:v>
      </x:c>
      <x:c r="B7" s="1" t="n">
        <x:v>-0.0005249512140669289</x:v>
      </x:c>
      <x:c r="C7" s="1" t="n">
        <x:v>-0.0007505495087771772</x:v>
      </x:c>
      <x:c r="D7" s="1" t="n">
        <x:v>-0.00020584442112193773</x:v>
      </x:c>
      <x:c r="E7" s="1" t="n">
        <x:v>-0.000013160862647209402</x:v>
      </x:c>
      <x:c r="F7" s="1" t="n">
        <x:v>-0.00017401338394042938</x:v>
      </x:c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15" hidden="0" customHeight="1">
      <x:c r="A8" s="1" t="n">
        <x:v>-0.3800005</x:v>
      </x:c>
      <x:c r="B8" s="1" t="n">
        <x:v>-0.0005075574886463018</x:v>
      </x:c>
      <x:c r="C8" s="1" t="n">
        <x:v>-0.0007430736120547345</x:v>
      </x:c>
      <x:c r="D8" s="1" t="n">
        <x:v>-0.00020203319075136407</x:v>
      </x:c>
      <x:c r="E8" s="1" t="n">
        <x:v>-0.000013075731021827198</x:v>
      </x:c>
      <x:c r="F8" s="1" t="n">
        <x:v>-0.00016725021842091726</x:v>
      </x:c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15" hidden="0" customHeight="1">
      <x:c r="A9" s="1" t="n">
        <x:v>-0.3699994</x:v>
      </x:c>
      <x:c r="B9" s="1" t="n">
        <x:v>-0.0004989717514540316</x:v>
      </x:c>
      <x:c r="C9" s="1" t="n">
        <x:v>-0.0007341963030067199</x:v>
      </x:c>
      <x:c r="D9" s="1" t="n">
        <x:v>-0.00019813707774447417</x:v>
      </x:c>
      <x:c r="E9" s="1" t="n">
        <x:v>-0.000013115143444579173</x:v>
      </x:c>
      <x:c r="F9" s="1" t="n">
        <x:v>-0.00016867058786859958</x:v>
      </x:c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15" hidden="0" customHeight="1">
      <x:c r="A10" s="1" t="n">
        <x:v>-0.3599997</x:v>
      </x:c>
      <x:c r="B10" s="1" t="n">
        <x:v>-0.0004893297913238732</x:v>
      </x:c>
      <x:c r="C10" s="1" t="n">
        <x:v>-0.0007075640929205549</x:v>
      </x:c>
      <x:c r="D10" s="1" t="n">
        <x:v>-0.00019392406956200597</x:v>
      </x:c>
      <x:c r="E10" s="1" t="n">
        <x:v>-0.000013056812096903039</x:v>
      </x:c>
      <x:c r="F10" s="1" t="n">
        <x:v>-0.0001607012400870417</x:v>
      </x:c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15" hidden="0" customHeight="1">
      <x:c r="A11" s="1" t="n">
        <x:v>-0.3499999</x:v>
      </x:c>
      <x:c r="B11" s="1" t="n">
        <x:v>-0.0004770092181337131</x:v>
      </x:c>
      <x:c r="C11" s="1" t="n">
        <x:v>-0.000696189536712133</x:v>
      </x:c>
      <x:c r="D11" s="1" t="n">
        <x:v>-0.00018947904884027513</x:v>
      </x:c>
      <x:c r="E11" s="1" t="n">
        <x:v>-0.000013018975661765327</x:v>
      </x:c>
      <x:c r="F11" s="1" t="n">
        <x:v>-0.00016433831958210794</x:v>
      </x:c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15" hidden="0" customHeight="1">
      <x:c r="A12" s="1" t="n">
        <x:v>-0.3400002</x:v>
      </x:c>
      <x:c r="B12" s="1" t="n">
        <x:v>-0.00046159566314727025</x:v>
      </x:c>
      <x:c r="C12" s="1" t="n">
        <x:v>-0.0006704292127719907</x:v>
      </x:c>
      <x:c r="D12" s="1" t="n">
        <x:v>-0.000185410341139544</x:v>
      </x:c>
      <x:c r="E12" s="1" t="n">
        <x:v>-0.000013039470574303746</x:v>
      </x:c>
      <x:c r="F12" s="1" t="n">
        <x:v>-0.00016282174981326785</x:v>
      </x:c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15" hidden="0" customHeight="1">
      <x:c r="A13" s="1" t="n">
        <x:v>-0.3299997</x:v>
      </x:c>
      <x:c r="B13" s="1" t="n">
        <x:v>-0.0004529278727398949</x:v>
      </x:c>
      <x:c r="C13" s="1" t="n">
        <x:v>-0.0006545063619676539</x:v>
      </x:c>
      <x:c r="D13" s="1" t="n">
        <x:v>-0.0001812171389055494</x:v>
      </x:c>
      <x:c r="E13" s="1" t="n">
        <x:v>-0.000013039470574303746</x:v>
      </x:c>
      <x:c r="F13" s="1" t="n">
        <x:v>-0.0001486630431336918</x:v>
      </x:c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15" hidden="0" customHeight="1">
      <x:c r="A14" s="1" t="n">
        <x:v>-0.32</x:v>
      </x:c>
      <x:c r="B14" s="1" t="n">
        <x:v>-0.0004417283162333439</x:v>
      </x:c>
      <x:c r="C14" s="1" t="n">
        <x:v>-0.000643570083104742</x:v>
      </x:c>
      <x:c r="D14" s="1" t="n">
        <x:v>-0.00017702818080337043</x:v>
      </x:c>
      <x:c r="E14" s="1" t="n">
        <x:v>-0.000012959068326474931</x:v>
      </x:c>
      <x:c r="F14" s="1" t="n">
        <x:v>-0.00014549267666730123</x:v>
      </x:c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15" hidden="0" customHeight="1">
      <x:c r="A15" s="1" t="n">
        <x:v>-0.3099995</x:v>
      </x:c>
      <x:c r="B15" s="1" t="n">
        <x:v>-0.00042853599836822177</x:v>
      </x:c>
      <x:c r="C15" s="1" t="n">
        <x:v>-0.0006291812030096899</x:v>
      </x:c>
      <x:c r="D15" s="1" t="n">
        <x:v>-0.00017255345115892918</x:v>
      </x:c>
      <x:c r="E15" s="1" t="n">
        <x:v>-0.000012941726803875639</x:v>
      </x:c>
      <x:c r="F15" s="1" t="n">
        <x:v>-0.00014557614459301165</x:v>
      </x:c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15" hidden="0" customHeight="1">
      <x:c r="A16" s="1" t="n">
        <x:v>-0.2999998</x:v>
      </x:c>
      <x:c r="B16" s="1" t="n">
        <x:v>-0.00041482504759521093</x:v>
      </x:c>
      <x:c r="C16" s="1" t="n">
        <x:v>-0.0006202076936405175</x:v>
      </x:c>
      <x:c r="D16" s="1" t="n">
        <x:v>-0.00016808296564630351</x:v>
      </x:c>
      <x:c r="E16" s="1" t="n">
        <x:v>-0.000012952762961307282</x:v>
      </x:c>
      <x:c r="F16" s="1" t="n">
        <x:v>-0.0001418177678106503</x:v>
      </x:c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15" hidden="0" customHeight="1">
      <x:c r="A17" s="1" t="n">
        <x:v>-0.29</x:v>
      </x:c>
      <x:c r="B17" s="1" t="n">
        <x:v>-0.0004072356910822262</x:v>
      </x:c>
      <x:c r="C17" s="1" t="n">
        <x:v>-0.000608770041339101</x:v>
      </x:c>
      <x:c r="D17" s="1" t="n">
        <x:v>-0.00016404538157888777</x:v>
      </x:c>
      <x:c r="E17" s="1" t="n">
        <x:v>-0.000012929114658829736</x:v>
      </x:c>
      <x:c r="F17" s="1" t="n">
        <x:v>-0.00013769044864954286</x:v>
      </x:c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15" hidden="0" customHeight="1">
      <x:c r="A18" s="1" t="n">
        <x:v>-0.2800003</x:v>
      </x:c>
      <x:c r="B18" s="1" t="n">
        <x:v>-0.00039622839374693023</x:v>
      </x:c>
      <x:c r="C18" s="1" t="n">
        <x:v>-0.0005862431799583439</x:v>
      </x:c>
      <x:c r="D18" s="1" t="n">
        <x:v>-0.0001595239664844728</x:v>
      </x:c>
      <x:c r="E18" s="1" t="n">
        <x:v>-0.000012877090091031857</x:v>
      </x:c>
      <x:c r="F18" s="1" t="n">
        <x:v>-0.00012703476348807847</x:v>
      </x:c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15" hidden="0" customHeight="1">
      <x:c r="A19" s="1" t="n">
        <x:v>-0.2700005</x:v>
      </x:c>
      <x:c r="B19" s="1" t="n">
        <x:v>-0.0003795362233154522</x:v>
      </x:c>
      <x:c r="C19" s="1" t="n">
        <x:v>-0.0005699877306907101</x:v>
      </x:c>
      <x:c r="D19" s="1" t="n">
        <x:v>-0.0001549204981749525</x:v>
      </x:c>
      <x:c r="E19" s="1" t="n">
        <x:v>-0.000012806146598309817</x:v>
      </x:c>
      <x:c r="F19" s="1" t="n">
        <x:v>-0.00012299887707338907</x:v>
      </x:c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15" hidden="0" customHeight="1">
      <x:c r="A20" s="1" t="n">
        <x:v>-0.2600001</x:v>
      </x:c>
      <x:c r="B20" s="1" t="n">
        <x:v>-0.00036878597889713224</x:v>
      </x:c>
      <x:c r="C20" s="1" t="n">
        <x:v>-0.0005577161064874921</x:v>
      </x:c>
      <x:c r="D20" s="1" t="n">
        <x:v>-0.00015048962455927408</x:v>
      </x:c>
      <x:c r="E20" s="1" t="n">
        <x:v>-0.000012809299988248944</x:v>
      </x:c>
      <x:c r="F20" s="1" t="n">
        <x:v>-0.00011876907627603647</x:v>
      </x:c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15" hidden="0" customHeight="1">
      <x:c r="A21" s="1" t="n">
        <x:v>-0.2500003</x:v>
      </x:c>
      <x:c r="B21" s="1" t="n">
        <x:v>-0.0003571733268938449</x:v>
      </x:c>
      <x:c r="C21" s="1" t="n">
        <x:v>-0.000532742361643875</x:v>
      </x:c>
      <x:c r="D21" s="1" t="n">
        <x:v>-0.0001459526476482011</x:v>
      </x:c>
      <x:c r="E21" s="1" t="n">
        <x:v>-0.000012760427395679587</x:v>
      </x:c>
      <x:c r="F21" s="1" t="n">
        <x:v>-0.00011347039088087873</x:v>
      </x:c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15" hidden="0" customHeight="1">
      <x:c r="A22" s="1" t="n">
        <x:v>-0.2400006</x:v>
      </x:c>
      <x:c r="B22" s="1" t="n">
        <x:v>-0.00034398412139205437</x:v>
      </x:c>
      <x:c r="C22" s="1" t="n">
        <x:v>-0.0005134111900493427</x:v>
      </x:c>
      <x:c r="D22" s="1" t="n">
        <x:v>-0.0001410704813494444</x:v>
      </x:c>
      <x:c r="E22" s="1" t="n">
        <x:v>-0.000012727320338095263</x:v>
      </x:c>
      <x:c r="F22" s="1" t="n">
        <x:v>-0.00010946603836558061</x:v>
      </x:c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15" hidden="0" customHeight="1">
      <x:c r="A23" s="1" t="n">
        <x:v>-0.2299988</x:v>
      </x:c>
      <x:c r="B23" s="1" t="n">
        <x:v>-0.0003325969742592458</x:v>
      </x:c>
      <x:c r="C23" s="1" t="n">
        <x:v>-0.0004982088513562653</x:v>
      </x:c>
      <x:c r="D23" s="1" t="n">
        <x:v>-0.0001367513698715817</x:v>
      </x:c>
      <x:c r="E23" s="1" t="n">
        <x:v>-0.000012766732760847237</x:v>
      </x:c>
      <x:c r="F23" s="1" t="n">
        <x:v>-0.00010585738040657404</x:v>
      </x:c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15" hidden="0" customHeight="1">
      <x:c r="A24" s="1" t="n">
        <x:v>-0.2200004</x:v>
      </x:c>
      <x:c r="B24" s="1" t="n">
        <x:v>-0.00032318518754456346</x:v>
      </x:c>
      <x:c r="C24" s="1" t="n">
        <x:v>-0.0004794844491403295</x:v>
      </x:c>
      <x:c r="D24" s="1" t="n">
        <x:v>-0.0001314164961791412</x:v>
      </x:c>
      <x:c r="E24" s="1" t="n">
        <x:v>-0.000012686330513018423</x:v>
      </x:c>
      <x:c r="F24" s="1" t="n">
        <x:v>-0.00009840991936729701</x:v>
      </x:c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15" hidden="0" customHeight="1">
      <x:c r="A25" s="1" t="n">
        <x:v>-0.21</x:v>
      </x:c>
      <x:c r="B25" s="1" t="n">
        <x:v>-0.0003121668554665464</x:v>
      </x:c>
      <x:c r="C25" s="1" t="n">
        <x:v>-0.0004633819300891244</x:v>
      </x:c>
      <x:c r="D25" s="1" t="n">
        <x:v>-0.00012675219531359477</x:v>
      </x:c>
      <x:c r="E25" s="1" t="n">
        <x:v>-0.000012602774875250479</x:v>
      </x:c>
      <x:c r="F25" s="1" t="n">
        <x:v>-0.00009436298406278052</x:v>
      </x:c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15" hidden="0" customHeight="1">
      <x:c r="A26" s="1" t="n">
        <x:v>-0.1999995</x:v>
      </x:c>
      <x:c r="B26" s="1" t="n">
        <x:v>-0.0003002373082876806</x:v>
      </x:c>
      <x:c r="C26" s="1" t="n">
        <x:v>-0.00044937459744431136</x:v>
      </x:c>
      <x:c r="D26" s="1" t="n">
        <x:v>-0.000122205315428285</x:v>
      </x:c>
      <x:c r="E26" s="1" t="n">
        <x:v>-0.000012519220652193143</x:v>
      </x:c>
      <x:c r="F26" s="1" t="n">
        <x:v>-0.00008900282949182419</x:v>
      </x:c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15" hidden="0" customHeight="1">
      <x:c r="A27" s="1" t="n">
        <x:v>-0.1899991</x:v>
      </x:c>
      <x:c r="B27" s="1" t="n">
        <x:v>-0.00028648547237817765</x:v>
      </x:c>
      <x:c r="C27" s="1" t="n">
        <x:v>-0.00042890345204405937</x:v>
      </x:c>
      <x:c r="D27" s="1" t="n">
        <x:v>-0.00011705718353573936</x:v>
      </x:c>
      <x:c r="E27" s="1" t="n">
        <x:v>-0.00001248138421705543</x:v>
      </x:c>
      <x:c r="F27" s="1" t="n">
        <x:v>-0.00008618558893961289</x:v>
      </x:c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15" hidden="0" customHeight="1">
      <x:c r="A28" s="1" t="n">
        <x:v>-0.18</x:v>
      </x:c>
      <x:c r="B28" s="1" t="n">
        <x:v>-0.0002753425042958371</x:v>
      </x:c>
      <x:c r="C28" s="1" t="n">
        <x:v>-0.00041526974447009577</x:v>
      </x:c>
      <x:c r="D28" s="1" t="n">
        <x:v>-0.00011202505791282475</x:v>
      </x:c>
      <x:c r="E28" s="1" t="n">
        <x:v>-0.00001239940456690175</x:v>
      </x:c>
      <x:c r="F28" s="1" t="n">
        <x:v>-0.00008188011527198489</x:v>
      </x:c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15" hidden="0" customHeight="1">
      <x:c r="A29" s="1" t="n">
        <x:v>-0.1699996</x:v>
      </x:c>
      <x:c r="B29" s="1" t="n">
        <x:v>-0.0002590020309208271</x:v>
      </x:c>
      <x:c r="C29" s="1" t="n">
        <x:v>-0.00039622858854964195</x:v>
      </x:c>
      <x:c r="D29" s="1" t="n">
        <x:v>-0.00010700283526414723</x:v>
      </x:c>
      <x:c r="E29" s="1" t="n">
        <x:v>-0.000012287471249102869</x:v>
      </x:c>
      <x:c r="F29" s="1" t="n">
        <x:v>-0.000080037171766511</x:v>
      </x:c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15" hidden="0" customHeight="1">
      <x:c r="A30" s="1" t="n">
        <x:v>-0.1599998</x:v>
      </x:c>
      <x:c r="B30" s="1" t="n">
        <x:v>-0.0002471559516676717</x:v>
      </x:c>
      <x:c r="C30" s="1" t="n">
        <x:v>-0.00037783537008639786</x:v>
      </x:c>
      <x:c r="D30" s="1" t="n">
        <x:v>-0.00010219140449565348</x:v>
      </x:c>
      <x:c r="E30" s="1" t="n">
        <x:v>-0.000012265400348950187</x:v>
      </x:c>
      <x:c r="F30" s="1" t="n">
        <x:v>-0.00007375001392435114</x:v>
      </x:c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15" hidden="0" customHeight="1">
      <x:c r="A31" s="1" t="n">
        <x:v>-0.1499994</x:v>
      </x:c>
      <x:c r="B31" s="1" t="n">
        <x:v>-0.00023292636798677202</x:v>
      </x:c>
      <x:c r="C31" s="1" t="n">
        <x:v>-0.000362413751249505</x:v>
      </x:c>
      <x:c r="D31" s="1" t="n">
        <x:v>-0.00009688765443652898</x:v>
      </x:c>
      <x:c r="E31" s="1" t="n">
        <x:v>-0.000012139278898491145</x:v>
      </x:c>
      <x:c r="F31" s="1" t="n">
        <x:v>-0.00006778604671996322</x:v>
      </x:c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15" hidden="0" customHeight="1">
      <x:c r="A32" s="1" t="n">
        <x:v>-0.1400003</x:v>
      </x:c>
      <x:c r="B32" s="1" t="n">
        <x:v>-0.00022067681326899606</x:v>
      </x:c>
      <x:c r="C32" s="1" t="n">
        <x:v>-0.00034352085700048256</x:v>
      </x:c>
      <x:c r="D32" s="1" t="n">
        <x:v>-0.00009149619231987826</x:v>
      </x:c>
      <x:c r="E32" s="1" t="n">
        <x:v>-0.000011942213955310063</x:v>
      </x:c>
      <x:c r="F32" s="1" t="n">
        <x:v>-0.0000627932076105569</x:v>
      </x:c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15" hidden="0" customHeight="1">
      <x:c r="A33" s="1" t="n">
        <x:v>-0.1299999</x:v>
      </x:c>
      <x:c r="B33" s="1" t="n">
        <x:v>-0.0002078550081113919</x:v>
      </x:c>
      <x:c r="C33" s="1" t="n">
        <x:v>-0.00032526005544989084</x:v>
      </x:c>
      <x:c r="D33" s="1" t="n">
        <x:v>-0.00008647821380301636</x:v>
      </x:c>
      <x:c r="E33" s="1" t="n">
        <x:v>-0.000011835011429775177</x:v>
      </x:c>
      <x:c r="F33" s="1" t="n">
        <x:v>-0.00005798798742162035</x:v>
      </x:c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15" hidden="0" customHeight="1">
      <x:c r="A34" s="1" t="n">
        <x:v>-0.1199995</x:v>
      </x:c>
      <x:c r="B34" s="1" t="n">
        <x:v>-0.000194189752490931</x:v>
      </x:c>
      <x:c r="C34" s="1" t="n">
        <x:v>-0.0003183358958635</x:v>
      </x:c>
      <x:c r="D34" s="1" t="n">
        <x:v>-0.00008110514292423395</x:v>
      </x:c>
      <x:c r="E34" s="1" t="n">
        <x:v>-0.000011574885761364573</x:v>
      </x:c>
      <x:c r="F34" s="1" t="n">
        <x:v>-0.0000551470929080891</x:v>
      </x:c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15" hidden="0" customHeight="1">
      <x:c r="A35" s="1" t="n">
        <x:v>-0.1099997</x:v>
      </x:c>
      <x:c r="B35" s="1" t="n">
        <x:v>-0.00018121812948022968</x:v>
      </x:c>
      <x:c r="C35" s="1" t="n">
        <x:v>-0.0002942860985161791</x:v>
      </x:c>
      <x:c r="D35" s="1" t="n">
        <x:v>-0.00007555381850918879</x:v>
      </x:c>
      <x:c r="E35" s="1" t="n">
        <x:v>-0.000011415657253321204</x:v>
      </x:c>
      <x:c r="F35" s="1" t="n">
        <x:v>-0.00004757508074712487</x:v>
      </x:c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15" hidden="0" customHeight="1">
      <x:c r="A36" s="1" t="n">
        <x:v>-0.09999994</x:v>
      </x:c>
      <x:c r="B36" s="1" t="n">
        <x:v>-0.0001668102922630671</x:v>
      </x:c>
      <x:c r="C36" s="1" t="n">
        <x:v>-0.0002753883942510988</x:v>
      </x:c>
      <x:c r="D36" s="1" t="n">
        <x:v>-0.00007021187126372208</x:v>
      </x:c>
      <x:c r="E36" s="1" t="n">
        <x:v>-0.000011101929614787854</x:v>
      </x:c>
      <x:c r="F36" s="1" t="n">
        <x:v>-0.0000423709829030349</x:v>
      </x:c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15" hidden="0" customHeight="1">
      <x:c r="A37" s="1" t="n">
        <x:v>-0.09000018</x:v>
      </x:c>
      <x:c r="B37" s="1" t="n">
        <x:v>-0.00015134623210801647</x:v>
      </x:c>
      <x:c r="C37" s="1" t="n">
        <x:v>-0.0002595869256166933</x:v>
      </x:c>
      <x:c r="D37" s="1" t="n">
        <x:v>-0.00006428847795949312</x:v>
      </x:c>
      <x:c r="E37" s="1" t="n">
        <x:v>-0.000010764555088487562</x:v>
      </x:c>
      <x:c r="F37" s="1" t="n">
        <x:v>-0.0000389404794505489</x:v>
      </x:c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15" hidden="0" customHeight="1">
      <x:c r="A38" s="1" t="n">
        <x:v>-0.07999976</x:v>
      </x:c>
      <x:c r="B38" s="1" t="n">
        <x:v>-0.00013663890065572005</x:v>
      </x:c>
      <x:c r="C38" s="1" t="n">
        <x:v>-0.00023651936184260528</x:v>
      </x:c>
      <x:c r="D38" s="1" t="n">
        <x:v>-0.00005893521302918431</x:v>
      </x:c>
      <x:c r="E38" s="1" t="n">
        <x:v>-0.000010400378869770597</x:v>
      </x:c>
      <x:c r="F38" s="1" t="n">
        <x:v>-0.0000356975807714266</x:v>
      </x:c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15" hidden="0" customHeight="1">
      <x:c r="A39" s="1" t="n">
        <x:v>-0.07000067</x:v>
      </x:c>
      <x:c r="B39" s="1" t="n">
        <x:v>-0.00012182910171428461</x:v>
      </x:c>
      <x:c r="C39" s="1" t="n">
        <x:v>-0.00021417216870871637</x:v>
      </x:c>
      <x:c r="D39" s="1" t="n">
        <x:v>-0.00005262135959790323</x:v>
      </x:c>
      <x:c r="E39" s="1" t="n">
        <x:v>-0.000009902199847812675</x:v>
      </x:c>
      <x:c r="F39" s="1" t="n">
        <x:v>-0.00003190921212423371</x:v>
      </x:c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15" hidden="0" customHeight="1">
      <x:c r="A40" s="1" t="n">
        <x:v>-0.06000024</x:v>
      </x:c>
      <x:c r="B40" s="1" t="n">
        <x:v>-0.00010655578699014133</x:v>
      </x:c>
      <x:c r="C40" s="1" t="n">
        <x:v>-0.00019115030008717832</x:v>
      </x:c>
      <x:c r="D40" s="1" t="n">
        <x:v>-0.00004643765954230619</x:v>
      </x:c>
      <x:c r="E40" s="1" t="n">
        <x:v>-0.000009377219133438078</x:v>
      </x:c>
      <x:c r="F40" s="1" t="n">
        <x:v>-0.000027466582263425617</x:v>
      </x:c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15" hidden="0" customHeight="1">
      <x:c r="A41" s="1" t="n">
        <x:v>-0.05000048</x:v>
      </x:c>
      <x:c r="B41" s="1" t="n">
        <x:v>-0.0000906234859189613</x:v>
      </x:c>
      <x:c r="C41" s="1" t="n">
        <x:v>-0.00016487756796581036</x:v>
      </x:c>
      <x:c r="D41" s="1" t="n">
        <x:v>-0.00004070242274857678</x:v>
      </x:c>
      <x:c r="E41" s="1" t="n">
        <x:v>-0.000008590536763038616</x:v>
      </x:c>
      <x:c r="F41" s="1" t="n">
        <x:v>-0.00002431985561124898</x:v>
      </x:c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15" hidden="0" customHeight="1">
      <x:c r="A42" s="1" t="n">
        <x:v>-0.04000006</x:v>
      </x:c>
      <x:c r="B42" s="1" t="n">
        <x:v>-0.00007321084581754191</x:v>
      </x:c>
      <x:c r="C42" s="1" t="n">
        <x:v>-0.000142930907698483</x:v>
      </x:c>
      <x:c r="D42" s="1" t="n">
        <x:v>-0.00003448759905966403</x:v>
      </x:c>
      <x:c r="E42" s="1" t="n">
        <x:v>-0.000007963081485971917</x:v>
      </x:c>
      <x:c r="F42" s="1" t="n">
        <x:v>-0.000020203571192862566</x:v>
      </x:c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15" hidden="0" customHeight="1">
      <x:c r="A43" s="1" t="n">
        <x:v>-0.03000097</x:v>
      </x:c>
      <x:c r="B43" s="1" t="n">
        <x:v>-0.00005628850197058792</x:v>
      </x:c>
      <x:c r="C43" s="1" t="n">
        <x:v>-0.00011509432617984707</x:v>
      </x:c>
      <x:c r="D43" s="1" t="n">
        <x:v>-0.000027846947478567562</x:v>
      </x:c>
      <x:c r="E43" s="1" t="n">
        <x:v>-0.000006832717809393909</x:v>
      </x:c>
      <x:c r="F43" s="1" t="n">
        <x:v>-0.00001710412416911376</x:v>
      </x:c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15" hidden="0" customHeight="1">
      <x:c r="A44" s="1" t="n">
        <x:v>-0.02000121</x:v>
      </x:c>
      <x:c r="B44" s="1" t="n">
        <x:v>-0.00003793623937936607</x:v>
      </x:c>
      <x:c r="C44" s="1" t="n">
        <x:v>-0.00008746110931071747</x:v>
      </x:c>
      <x:c r="D44" s="1" t="n">
        <x:v>-0.00002125581076865511</x:v>
      </x:c>
      <x:c r="E44" s="1" t="n">
        <x:v>-0.00000571654368018667</x:v>
      </x:c>
      <x:c r="F44" s="1" t="n">
        <x:v>-0.000012970498228128055</x:v>
      </x:c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15" hidden="0" customHeight="1">
      <x:c r="A45" s="1" t="n">
        <x:v>-0.009999447</x:v>
      </x:c>
      <x:c r="B45" s="1" t="n">
        <x:v>-0.000019628129906134433</x:v>
      </x:c>
      <x:c r="C45" s="1" t="n">
        <x:v>-0.000060247240959199426</x:v>
      </x:c>
      <x:c r="D45" s="1" t="n">
        <x:v>-0.000014228943192322132</x:v>
      </x:c>
      <x:c r="E45" s="1" t="n">
        <x:v>-0.000004187320739693109</x:v>
      </x:c>
      <x:c r="F45" s="1" t="n">
        <x:v>-0.00000860827202985939</x:v>
      </x:c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15" hidden="0" customHeight="1">
      <x:c r="A46" s="1" t="n">
        <x:v>-0.000001022334</x:v>
      </x:c>
      <x:c r="B46" s="1" t="n">
        <x:v>-2.0590565141167337e-9</x:v>
      </x:c>
      <x:c r="C46" s="1" t="n">
        <x:v>-0.00003145687569760241</x:v>
      </x:c>
      <x:c r="D46" s="1" t="n">
        <x:v>-0.000006944598285831982</x:v>
      </x:c>
      <x:c r="E46" s="1" t="n">
        <x:v>-0.000002576118431987987</x:v>
      </x:c>
      <x:c r="F46" s="1" t="n">
        <x:v>-0.000004613374025536212</x:v>
      </x:c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15" hidden="0" customHeight="1">
      <x:c r="A47" s="1" t="n">
        <x:v>0.009999403</x:v>
      </x:c>
      <x:c r="B47" s="1" t="n">
        <x:v>0.000020139539411216443</x:v>
      </x:c>
      <x:c r="C47" s="1" t="n">
        <x:v>9.787545071652851e-10</x:v>
      </x:c>
      <x:c r="D47" s="1" t="n">
        <x:v>2.1607539597158223e-10</x:v>
      </x:c>
      <x:c r="E47" s="1" t="n">
        <x:v>-8.716974223795647e-11</x:v>
      </x:c>
      <x:c r="F47" s="1" t="n">
        <x:v>-4.813383768999678e-10</x:v>
      </x:c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15" hidden="0" customHeight="1">
      <x:c r="A48" s="1" t="n">
        <x:v>0.0200005</x:v>
      </x:c>
      <x:c r="B48" s="1" t="n">
        <x:v>0.000041041027045193425</x:v>
      </x:c>
      <x:c r="C48" s="1" t="n">
        <x:v>0.0000324189209000349</x:v>
      </x:c>
      <x:c r="D48" s="1" t="n">
        <x:v>0.0000075010117044910825</x:v>
      </x:c>
      <x:c r="E48" s="1" t="n">
        <x:v>0.000002451398346716607</x:v>
      </x:c>
      <x:c r="F48" s="1" t="n">
        <x:v>0.000004708578565712016</x:v>
      </x:c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15" hidden="0" customHeight="1">
      <x:c r="A49" s="1" t="n">
        <x:v>0.02999959</x:v>
      </x:c>
      <x:c r="B49" s="1" t="n">
        <x:v>0.00006384694009283833</x:v>
      </x:c>
      <x:c r="C49" s="1" t="n">
        <x:v>0.00006587894878037234</x:v>
      </x:c>
      <x:c r="D49" s="1" t="n">
        <x:v>0.000015262114084954564</x:v>
      </x:c>
      <x:c r="E49" s="1" t="n">
        <x:v>0.000005954422694249512</x:v>
      </x:c>
      <x:c r="F49" s="1" t="n">
        <x:v>0.000009805462566582265</x:v>
      </x:c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15" hidden="0" customHeight="1">
      <x:c r="A50" s="1" t="n">
        <x:v>0.04000001</x:v>
      </x:c>
      <x:c r="B50" s="1" t="n">
        <x:v>0.00008657718027020783</x:v>
      </x:c>
      <x:c r="C50" s="1" t="n">
        <x:v>0.00010280101401258704</x:v>
      </x:c>
      <x:c r="D50" s="1" t="n">
        <x:v>0.00002381545440436437</x:v>
      </x:c>
      <x:c r="E50" s="1" t="n">
        <x:v>0.000010168456541906452</x:v>
      </x:c>
      <x:c r="F50" s="1" t="n">
        <x:v>0.000015496693372224283</x:v>
      </x:c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15" hidden="0" customHeight="1">
      <x:c r="A51" s="1" t="n">
        <x:v>0.05000044</x:v>
      </x:c>
      <x:c r="B51" s="1" t="n">
        <x:v>0.00011085556655712685</x:v>
      </x:c>
      <x:c r="C51" s="1" t="n">
        <x:v>0.00014034426452446593</x:v>
      </x:c>
      <x:c r="D51" s="1" t="n">
        <x:v>0.00003258807486758974</x:v>
      </x:c>
      <x:c r="E51" s="1" t="n">
        <x:v>0.000015333136304402034</x:v>
      </x:c>
      <x:c r="F51" s="1" t="n">
        <x:v>0.000022835391460168816</x:v>
      </x:c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15" hidden="0" customHeight="1">
      <x:c r="A52" s="1" t="n">
        <x:v>0.0600002</x:v>
      </x:c>
      <x:c r="B52" s="1" t="n">
        <x:v>0.0001369059486126659</x:v>
      </x:c>
      <x:c r="C52" s="1" t="n">
        <x:v>0.00018220710751581335</x:v>
      </x:c>
      <x:c r="D52" s="1" t="n">
        <x:v>0.000042090686003129714</x:v>
      </x:c>
      <x:c r="E52" s="1" t="n">
        <x:v>0.000021339672150902265</x:v>
      </x:c>
      <x:c r="F52" s="1" t="n">
        <x:v>0.000029806745792351197</x:v>
      </x:c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15" hidden="0" customHeight="1">
      <x:c r="A53" s="1" t="n">
        <x:v>0.06999929</x:v>
      </x:c>
      <x:c r="B53" s="1" t="n">
        <x:v>0.00016399997682881227</x:v>
      </x:c>
      <x:c r="C53" s="1" t="n">
        <x:v>0.0002226904661959705</x:v>
      </x:c>
      <x:c r="D53" s="1" t="n">
        <x:v>0.000052258211123142575</x:v>
      </x:c>
      <x:c r="E53" s="1" t="n">
        <x:v>0.000029280584249294422</x:v>
      </x:c>
      <x:c r="F53" s="1" t="n">
        <x:v>0.00003757584128773437</x:v>
      </x:c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15" hidden="0" customHeight="1">
      <x:c r="A54" s="1" t="n">
        <x:v>0.07999971</x:v>
      </x:c>
      <x:c r="B54" s="1" t="n">
        <x:v>0.00019296377146350824</x:v>
      </x:c>
      <x:c r="C54" s="1" t="n">
        <x:v>0.00026366586122463745</x:v>
      </x:c>
      <x:c r="D54" s="1" t="n">
        <x:v>0.00006311470030791782</x:v>
      </x:c>
      <x:c r="E54" s="1" t="n">
        <x:v>0.00003821629255109421</x:v>
      </x:c>
      <x:c r="F54" s="1" t="n">
        <x:v>0.00004579265024836458</x:v>
      </x:c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15" hidden="0" customHeight="1">
      <x:c r="A55" s="1" t="n">
        <x:v>0.08999947</x:v>
      </x:c>
      <x:c r="B55" s="1" t="n">
        <x:v>0.00022307998935725012</x:v>
      </x:c>
      <x:c r="C55" s="1" t="n">
        <x:v>0.00030712096100220644</x:v>
      </x:c>
      <x:c r="D55" s="1" t="n">
        <x:v>0.00007397543362450868</x:v>
      </x:c>
      <x:c r="E55" s="1" t="n">
        <x:v>0.000049762721950949254</x:v>
      </x:c>
      <x:c r="F55" s="1" t="n">
        <x:v>0.00005720821891723294</x:v>
      </x:c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15" hidden="0" customHeight="1">
      <x:c r="A56" s="1" t="n">
        <x:v>0.0999999</x:v>
      </x:c>
      <x:c r="B56" s="1" t="n">
        <x:v>0.00025541602966170745</x:v>
      </x:c>
      <x:c r="C56" s="1" t="n">
        <x:v>0.00036475853459751986</x:v>
      </x:c>
      <x:c r="D56" s="1" t="n">
        <x:v>0.00008661445817191325</x:v>
      </x:c>
      <x:c r="E56" s="1" t="n">
        <x:v>0.0000638962043404335</x:v>
      </x:c>
      <x:c r="F56" s="1" t="n">
        <x:v>0.00006889022003439016</x:v>
      </x:c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15" hidden="0" customHeight="1">
      <x:c r="A57" s="1" t="n">
        <x:v>0.1099997</x:v>
      </x:c>
      <x:c r="B57" s="1" t="n">
        <x:v>0.0002887940043269397</x:v>
      </x:c>
      <x:c r="C57" s="1" t="n">
        <x:v>0.0004133105537437242</x:v>
      </x:c>
      <x:c r="D57" s="1" t="n">
        <x:v>0.00010052106342163155</x:v>
      </x:c>
      <x:c r="E57" s="1" t="n">
        <x:v>0.00007991205821996027</x:v>
      </x:c>
      <x:c r="F57" s="1" t="n">
        <x:v>0.00008235211100534477</x:v>
      </x:c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15" hidden="0" customHeight="1">
      <x:c r="A58" s="1" t="n">
        <x:v>0.1200007</x:v>
      </x:c>
      <x:c r="B58" s="1" t="n">
        <x:v>0.00032632457903179545</x:v>
      </x:c>
      <x:c r="C58" s="1" t="n">
        <x:v>0.0004673188287523004</x:v>
      </x:c>
      <x:c r="D58" s="1" t="n">
        <x:v>0.00011573910540242733</x:v>
      </x:c>
      <x:c r="E58" s="1" t="n">
        <x:v>0.00009886653482162973</x:v>
      </x:c>
      <x:c r="F58" s="1" t="n">
        <x:v>0.00009748511473165822</x:v>
      </x:c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15" hidden="0" customHeight="1">
      <x:c r="A59" s="1" t="n">
        <x:v>0.1300005</x:v>
      </x:c>
      <x:c r="B59" s="1" t="n">
        <x:v>0.00036347997248413596</x:v>
      </x:c>
      <x:c r="C59" s="1" t="n">
        <x:v>0.0005237960567091785</x:v>
      </x:c>
      <x:c r="D59" s="1" t="n">
        <x:v>0.00013401009286937706</x:v>
      </x:c>
      <x:c r="E59" s="1" t="n">
        <x:v>0.00012331833633454168</x:v>
      </x:c>
      <x:c r="F59" s="1" t="n">
        <x:v>0.00011870189750351919</x:v>
      </x:c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15" hidden="0" customHeight="1">
      <x:c r="A60" s="1" t="n">
        <x:v>0.1400003</x:v>
      </x:c>
      <x:c r="B60" s="1" t="n">
        <x:v>0.000411139733651602</x:v>
      </x:c>
      <x:c r="C60" s="1" t="n">
        <x:v>0.0005843612324310197</x:v>
      </x:c>
      <x:c r="D60" s="1" t="n">
        <x:v>0.0001522386390181687</x:v>
      </x:c>
      <x:c r="E60" s="1" t="n">
        <x:v>0.00015414870014181944</x:v>
      </x:c>
      <x:c r="F60" s="1" t="n">
        <x:v>0.00013863539628534763</x:v>
      </x:c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15" hidden="0" customHeight="1">
      <x:c r="A61" s="1" t="n">
        <x:v>0.15</x:v>
      </x:c>
      <x:c r="B61" s="1" t="n">
        <x:v>0.0004513472237637332</x:v>
      </x:c>
      <x:c r="C61" s="1" t="n">
        <x:v>0.0006524337114507403</x:v>
      </x:c>
      <x:c r="D61" s="1" t="n">
        <x:v>0.00017423031537695558</x:v>
      </x:c>
      <x:c r="E61" s="1" t="n">
        <x:v>0.00018564921236280944</x:v>
      </x:c>
      <x:c r="F61" s="1" t="n">
        <x:v>0.00016628435888351378</x:v>
      </x:c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15" hidden="0" customHeight="1">
      <x:c r="A62" s="1" t="n">
        <x:v>0.1599991</x:v>
      </x:c>
      <x:c r="B62" s="1" t="n">
        <x:v>0.0005017013012789195</x:v>
      </x:c>
      <x:c r="C62" s="1" t="n">
        <x:v>0.0007178639354730146</x:v>
      </x:c>
      <x:c r="D62" s="1" t="n">
        <x:v>0.00019924381358858042</x:v>
      </x:c>
      <x:c r="E62" s="1" t="n">
        <x:v>0.0002263358649569426</x:v>
      </x:c>
      <x:c r="F62" s="1" t="n">
        <x:v>0.00019398849519528514</x:v>
      </x:c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15" hidden="0" customHeight="1">
      <x:c r="A63" s="1" t="n">
        <x:v>0.1699989</x:v>
      </x:c>
      <x:c r="B63" s="1" t="n">
        <x:v>0.0005527142095229758</x:v>
      </x:c>
      <x:c r="C63" s="1" t="n">
        <x:v>0.0007764710102461136</x:v>
      </x:c>
      <x:c r="D63" s="1" t="n">
        <x:v>0.000228246795707042</x:v>
      </x:c>
      <x:c r="E63" s="1" t="n">
        <x:v>0.0002747302853417209</x:v>
      </x:c>
      <x:c r="F63" s="1" t="n">
        <x:v>0.00022575850978657746</x:v>
      </x:c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15" hidden="0" customHeight="1">
      <x:c r="A64" s="1" t="n">
        <x:v>0.1800006</x:v>
      </x:c>
      <x:c r="B64" s="1" t="n">
        <x:v>0.0006103233474351235</x:v>
      </x:c>
      <x:c r="C64" s="1" t="n">
        <x:v>0.0008523709415736846</x:v>
      </x:c>
      <x:c r="D64" s="1" t="n">
        <x:v>0.0002610751553021302</x:v>
      </x:c>
      <x:c r="E64" s="1" t="n">
        <x:v>0.00033482407948988896</x:v>
      </x:c>
      <x:c r="F64" s="1" t="n">
        <x:v>0.0002677916839347983</x:v>
      </x:c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15" hidden="0" customHeight="1">
      <x:c r="A65" s="1" t="n">
        <x:v>0.1899997</x:v>
      </x:c>
      <x:c r="B65" s="1" t="n">
        <x:v>0.0006670291926258119</x:v>
      </x:c>
      <x:c r="C65" s="1" t="n">
        <x:v>0.0009233205175513252</x:v>
      </x:c>
      <x:c r="D65" s="1" t="n">
        <x:v>0.00030040835426021</x:v>
      </x:c>
      <x:c r="E65" s="1" t="n">
        <x:v>0.00039689309258512283</x:v>
      </x:c>
      <x:c r="F65" s="1" t="n">
        <x:v>0.0003085651997600945</x:v>
      </x:c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15" hidden="0" customHeight="1">
      <x:c r="A66" s="1" t="n">
        <x:v>0.1999995</x:v>
      </x:c>
      <x:c r="B66" s="1" t="n">
        <x:v>0.0007373166840401902</x:v>
      </x:c>
      <x:c r="C66" s="1" t="n">
        <x:v>0.0010048801401263043</x:v>
      </x:c>
      <x:c r="D66" s="1" t="n">
        <x:v>0.0003479695100984895</x:v>
      </x:c>
      <x:c r="E66" s="1" t="n">
        <x:v>0.0004733890414906904</x:v>
      </x:c>
      <x:c r="F66" s="1" t="n">
        <x:v>0.00035739153129265904</x:v>
      </x:c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15" hidden="0" customHeight="1">
      <x:c r="A67" s="1" t="n">
        <x:v>0.2099999</x:v>
      </x:c>
      <x:c r="B67" s="1" t="n">
        <x:v>0.0008093288491534424</x:v>
      </x:c>
      <x:c r="C67" s="1" t="n">
        <x:v>0.0010792207774247562</x:v>
      </x:c>
      <x:c r="D67" s="1" t="n">
        <x:v>0.00040263817201760164</x:v>
      </x:c>
      <x:c r="E67" s="1" t="n">
        <x:v>0.0005573197190400876</x:v>
      </x:c>
      <x:c r="F67" s="1" t="n">
        <x:v>0.00042319382420411694</x:v>
      </x:c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15" hidden="0" customHeight="1">
      <x:c r="A68" s="1" t="n">
        <x:v>0.2200003</x:v>
      </x:c>
      <x:c r="B68" s="1" t="n">
        <x:v>0.000888157938789207</x:v>
      </x:c>
      <x:c r="C68" s="1" t="n">
        <x:v>0.0011607852100157935</x:v>
      </x:c>
      <x:c r="D68" s="1" t="n">
        <x:v>0.00046663685037841193</x:v>
      </x:c>
      <x:c r="E68" s="1" t="n">
        <x:v>0.000659396040696808</x:v>
      </x:c>
      <x:c r="F68" s="1" t="n">
        <x:v>0.000490017679643634</x:v>
      </x:c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15" hidden="0" customHeight="1">
      <x:c r="A69" s="1" t="n">
        <x:v>0.2299981</x:v>
      </x:c>
      <x:c r="B69" s="1" t="n">
        <x:v>0.0009625649260150455</x:v>
      </x:c>
      <x:c r="C69" s="1" t="n">
        <x:v>0.0012499419700120864</x:v>
      </x:c>
      <x:c r="D69" s="1" t="n">
        <x:v>0.0005400857955823676</x:v>
      </x:c>
      <x:c r="E69" s="1" t="n">
        <x:v>0.0007709473866322663</x:v>
      </x:c>
      <x:c r="F69" s="1" t="n">
        <x:v>0.0005704879750525621</x:v>
      </x:c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15" hidden="0" customHeight="1">
      <x:c r="A70" s="1" t="n">
        <x:v>0.2399999</x:v>
      </x:c>
      <x:c r="B70" s="1" t="n">
        <x:v>0.0010525399546254216</x:v>
      </x:c>
      <x:c r="C70" s="1" t="n">
        <x:v>0.001343085808907187</x:v>
      </x:c>
      <x:c r="D70" s="1" t="n">
        <x:v>0.0006328724200496399</x:v>
      </x:c>
      <x:c r="E70" s="1" t="n">
        <x:v>0.0008940876174328432</x:v>
      </x:c>
      <x:c r="F70" s="1" t="n">
        <x:v>0.0006697818438908548</x:v>
      </x:c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 ht="15" hidden="0" customHeight="1">
      <x:c r="A71" s="1" t="n">
        <x:v>0.2499989</x:v>
      </x:c>
      <x:c r="B71" s="1" t="n">
        <x:v>0.0011518921095406511</x:v>
      </x:c>
      <x:c r="C71" s="1" t="n">
        <x:v>0.0014365906819487505</x:v>
      </x:c>
      <x:c r="D71" s="1" t="n">
        <x:v>0.0007444662073032559</x:v>
      </x:c>
      <x:c r="E71" s="1" t="n">
        <x:v>0.0010423245314286347</x:v>
      </x:c>
      <x:c r="F71" s="1" t="n">
        <x:v>0.0007689621114675449</x:v>
      </x:c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 ht="15" hidden="0" customHeight="1">
      <x:c r="A72" s="1" t="n">
        <x:v>0.2599994</x:v>
      </x:c>
      <x:c r="B72" s="1" t="n">
        <x:v>0.001260935173572981</x:v>
      </x:c>
      <x:c r="C72" s="1" t="n">
        <x:v>0.00153721197374796</x:v>
      </x:c>
      <x:c r="D72" s="1" t="n">
        <x:v>0.0008774348570917647</x:v>
      </x:c>
      <x:c r="E72" s="1" t="n">
        <x:v>0.0012011318801248172</x:v>
      </x:c>
      <x:c r="F72" s="1" t="n">
        <x:v>0.0008895657661528886</x:v>
      </x:c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 ht="15" hidden="0" customHeight="1">
      <x:c r="A73" s="1" t="n">
        <x:v>0.2699998</x:v>
      </x:c>
      <x:c r="B73" s="1" t="n">
        <x:v>0.0013831343388789378</x:v>
      </x:c>
      <x:c r="C73" s="1" t="n">
        <x:v>0.001632644107047071</x:v>
      </x:c>
      <x:c r="D73" s="1" t="n">
        <x:v>0.0010377399599057373</x:v>
      </x:c>
      <x:c r="E73" s="1" t="n">
        <x:v>0.0013781355195679914</x:v>
      </x:c>
      <x:c r="F73" s="1" t="n">
        <x:v>0.0010313121293628014</x:v>
      </x:c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 ht="15" hidden="0" customHeight="1">
      <x:c r="A74" s="1" t="n">
        <x:v>0.2800002</x:v>
      </x:c>
      <x:c r="B74" s="1" t="n">
        <x:v>0.001517086636951285</x:v>
      </x:c>
      <x:c r="C74" s="1" t="n">
        <x:v>0.0017536358168514375</x:v>
      </x:c>
      <x:c r="D74" s="1" t="n">
        <x:v>0.001223767896828813</x:v>
      </x:c>
      <x:c r="E74" s="1" t="n">
        <x:v>0.0015793673513658103</x:v>
      </x:c>
      <x:c r="F74" s="1" t="n">
        <x:v>0.0011707772717217306</x:v>
      </x:c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 ht="15" hidden="0" customHeight="1">
      <x:c r="A75" s="1" t="n">
        <x:v>0.29</x:v>
      </x:c>
      <x:c r="B75" s="1" t="n">
        <x:v>0.0016545469929114985</x:v>
      </x:c>
      <x:c r="C75" s="1" t="n">
        <x:v>0.0018624723331353995</x:v>
      </x:c>
      <x:c r="D75" s="1" t="n">
        <x:v>0.0014543589348754984</x:v>
      </x:c>
      <x:c r="E75" s="1" t="n">
        <x:v>0.0017952762398089728</x:v>
      </x:c>
      <x:c r="F75" s="1" t="n">
        <x:v>0.001373336243538345</x:v>
      </x:c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 ht="15" hidden="0" customHeight="1">
      <x:c r="A76" s="1" t="n">
        <x:v>0.2999997</x:v>
      </x:c>
      <x:c r="B76" s="1" t="n">
        <x:v>0.0018167492226471265</x:v>
      </x:c>
      <x:c r="C76" s="1" t="n">
        <x:v>0.0019779579892640893</x:v>
      </x:c>
      <x:c r="D76" s="1" t="n">
        <x:v>0.0017155155029041564</x:v>
      </x:c>
      <x:c r="E76" s="1" t="n">
        <x:v>0.002034931045761446</x:v>
      </x:c>
      <x:c r="F76" s="1" t="n">
        <x:v>0.0015767294701988822</x:v>
      </x:c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 ht="15" hidden="0" customHeight="1">
      <x:c r="A77" s="1" t="n">
        <x:v>0.3100002</x:v>
      </x:c>
      <x:c r="B77" s="1" t="n">
        <x:v>0.0019902111340900294</x:v>
      </x:c>
      <x:c r="C77" s="1" t="n">
        <x:v>0.0020999767789678754</x:v>
      </x:c>
      <x:c r="D77" s="1" t="n">
        <x:v>0.0020345634436107116</x:v>
      </x:c>
      <x:c r="E77" s="1" t="n">
        <x:v>0.002287838860664007</x:v>
      </x:c>
      <x:c r="F77" s="1" t="n">
        <x:v>0.0018337682400688064</x:v>
      </x:c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 ht="15" hidden="0" customHeight="1">
      <x:c r="A78" s="1" t="n">
        <x:v>0.3199999</x:v>
      </x:c>
      <x:c r="B78" s="1" t="n">
        <x:v>0.0021783138855867813</x:v>
      </x:c>
      <x:c r="C78" s="1" t="n">
        <x:v>0.002238573147544114</x:v>
      </x:c>
      <x:c r="D78" s="1" t="n">
        <x:v>0.0024016998593865517</x:v>
      </x:c>
      <x:c r="E78" s="1" t="n">
        <x:v>0.0025703197860589503</x:v>
      </x:c>
      <x:c r="F78" s="1" t="n">
        <x:v>0.002107654798536787</x:v>
      </x:c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 ht="15" hidden="0" customHeight="1">
      <x:c r="A79" s="1" t="n">
        <x:v>0.3300003</x:v>
      </x:c>
      <x:c r="B79" s="1" t="n">
        <x:v>0.002401774499240828</x:v>
      </x:c>
      <x:c r="C79" s="1" t="n">
        <x:v>0.0023772996694960357</x:v>
      </x:c>
      <x:c r="D79" s="1" t="n">
        <x:v>0.002811044477306695</x:v>
      </x:c>
      <x:c r="E79" s="1" t="n">
        <x:v>0.002858601024935465</x:v>
      </x:c>
      <x:c r="F79" s="1" t="n">
        <x:v>0.0024501703831765983</x:v>
      </x:c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 ht="15" hidden="0" customHeight="1">
      <x:c r="A80" s="1" t="n">
        <x:v>0.3399994</x:v>
      </x:c>
      <x:c r="B80" s="1" t="n">
        <x:v>0.0026513322794301307</x:v>
      </x:c>
      <x:c r="C80" s="1" t="n">
        <x:v>0.0025210837818617675</x:v>
      </x:c>
      <x:c r="D80" s="1" t="n">
        <x:v>0.0032747143219994178</x:v>
      </x:c>
      <x:c r="E80" s="1" t="n">
        <x:v>0.003183125734808168</x:v>
      </x:c>
      <x:c r="F80" s="1" t="n">
        <x:v>0.0028180517289687445</x:v>
      </x:c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 ht="15" hidden="0" customHeight="1">
      <x:c r="A81" s="1" t="n">
        <x:v>0.3499999</x:v>
      </x:c>
      <x:c r="B81" s="1" t="n">
        <x:v>0.0029231406280189826</x:v>
      </x:c>
      <x:c r="C81" s="1" t="n">
        <x:v>0.002688335113747573</x:v>
      </x:c>
      <x:c r="D81" s="1" t="n">
        <x:v>0.0037957503987933647</x:v>
      </x:c>
      <x:c r="E81" s="1" t="n">
        <x:v>0.0035189653001017514</x:v>
      </x:c>
      <x:c r="F81" s="1" t="n">
        <x:v>0.0032172307174810864</x:v>
      </x:c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 ht="15" hidden="0" customHeight="1">
      <x:c r="A82" s="1" t="n">
        <x:v>0.359999</x:v>
      </x:c>
      <x:c r="B82" s="1" t="n">
        <x:v>0.0032467556789725033</x:v>
      </x:c>
      <x:c r="C82" s="1" t="n">
        <x:v>0.002849736617280623</x:v>
      </x:c>
      <x:c r="D82" s="1" t="n">
        <x:v>0.0043615501826747465</x:v>
      </x:c>
      <x:c r="E82" s="1" t="n">
        <x:v>0.003890980430282471</x:v>
      </x:c>
      <x:c r="F82" s="1" t="n">
        <x:v>0.0036683140233898597</x:v>
      </x:c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 ht="15" hidden="0" customHeight="1">
      <x:c r="A83" s="1" t="n">
        <x:v>0.3699987</x:v>
      </x:c>
      <x:c r="B83" s="1" t="n">
        <x:v>0.003588804409112578</x:v>
      </x:c>
      <x:c r="C83" s="1" t="n">
        <x:v>0.00303840808244069</x:v>
      </x:c>
      <x:c r="D83" s="1" t="n">
        <x:v>0.004983751224553505</x:v>
      </x:c>
      <x:c r="E83" s="1" t="n">
        <x:v>0.004265394909649714</x:v>
      </x:c>
      <x:c r="F83" s="1" t="n">
        <x:v>0.004203943264490259</x:v>
      </x:c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 ht="15" hidden="0" customHeight="1">
      <x:c r="A84" s="1" t="n">
        <x:v>0.3799998</x:v>
      </x:c>
      <x:c r="B84" s="1" t="n">
        <x:v>0.003989184486928787</x:v>
      </x:c>
      <x:c r="C84" s="1" t="n">
        <x:v>0.003232625213173381</x:v>
      </x:c>
      <x:c r="D84" s="1" t="n">
        <x:v>0.005624562784444475</x:v>
      </x:c>
      <x:c r="E84" s="1" t="n">
        <x:v>0.004671561153841441</x:v>
      </x:c>
      <x:c r="F84" s="1" t="n">
        <x:v>0.004725480573251649</x:v>
      </x:c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 ht="15" hidden="0" customHeight="1">
      <x:c r="A85" s="1" t="n">
        <x:v>0.3900009</x:v>
      </x:c>
      <x:c r="B85" s="1" t="n">
        <x:v>0.004437591160372406</x:v>
      </x:c>
      <x:c r="C85" s="1" t="n">
        <x:v>0.00342691166472573</x:v>
      </x:c>
      <x:c r="D85" s="1" t="n">
        <x:v>0.0063656504467469715</x:v>
      </x:c>
      <x:c r="E85" s="1" t="n">
        <x:v>0.00507559825857225</x:v>
      </x:c>
      <x:c r="F85" s="1" t="n">
        <x:v>0.005354032251037426</x:v>
      </x:c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 ht="15" hidden="0" customHeight="1">
      <x:c r="A86" s="1" t="n">
        <x:v>0.3999993</x:v>
      </x:c>
      <x:c r="B86" s="1" t="n">
        <x:v>0.004970399468525914</x:v>
      </x:c>
      <x:c r="C86" s="1" t="n">
        <x:v>0.0036424385813054725</x:v>
      </x:c>
      <x:c r="D86" s="1" t="n">
        <x:v>0.007089201356386648</x:v>
      </x:c>
      <x:c r="E86" s="1" t="n">
        <x:v>0.005520241801805875</x:v>
      </x:c>
      <x:c r="F86" s="1" t="n">
        <x:v>0.0060325981928510035</x:v>
      </x:c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 ht="15" hidden="0" customHeight="1">
      <x:c r="A87" s="1" t="n">
        <x:v>0.4099971</x:v>
      </x:c>
      <x:c r="B87" s="1" t="n">
        <x:v>0.005536096968830536</x:v>
      </x:c>
      <x:c r="C87" s="1" t="n">
        <x:v>0.0038623694919993927</x:v>
      </x:c>
      <x:c r="D87" s="1" t="n">
        <x:v>0.007887683827944594</x:v>
      </x:c>
      <x:c r="E87" s="1" t="n">
        <x:v>0.005969641602094387</x:v>
      </x:c>
      <x:c r="F87" s="1" t="n">
        <x:v>0.006730985644954898</x:v>
      </x:c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 ht="15" hidden="0" customHeight="1">
      <x:c r="A88" s="1" t="n">
        <x:v>0.4200002</x:v>
      </x:c>
      <x:c r="B88" s="1" t="n">
        <x:v>0.006190540680113804</x:v>
      </x:c>
      <x:c r="C88" s="1" t="n">
        <x:v>0.004096600297491294</x:v>
      </x:c>
      <x:c r="D88" s="1" t="n">
        <x:v>0.00869113759256943</x:v>
      </x:c>
      <x:c r="E88" s="1" t="n">
        <x:v>0.006443889379453708</x:v>
      </x:c>
      <x:c r="F88" s="1" t="n">
        <x:v>0.00747042658411287</x:v>
      </x:c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 ht="15" hidden="0" customHeight="1">
      <x:c r="A89" s="1" t="n">
        <x:v>0.4299993</x:v>
      </x:c>
      <x:c r="B89" s="1" t="n">
        <x:v>0.006907742368557069</x:v>
      </x:c>
      <x:c r="C89" s="1" t="n">
        <x:v>0.004346764988530254</x:v>
      </x:c>
      <x:c r="D89" s="1" t="n">
        <x:v>0.0095755368538955</x:v>
      </x:c>
      <x:c r="E89" s="1" t="n">
        <x:v>0.006939625196196344</x:v>
      </x:c>
      <x:c r="F89" s="1" t="n">
        <x:v>0.008290913464425051</x:v>
      </x:c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 ht="15" hidden="0" customHeight="1">
      <x:c r="A90" s="1" t="n">
        <x:v>0.4400004</x:v>
      </x:c>
      <x:c r="B90" s="1" t="n">
        <x:v>0.007737985093203132</x:v>
      </x:c>
      <x:c r="C90" s="1" t="n">
        <x:v>0.0045907954943848</x:v>
      </x:c>
      <x:c r="D90" s="1" t="n">
        <x:v>0.010421990747367252</x:v>
      </x:c>
      <x:c r="E90" s="1" t="n">
        <x:v>0.007436478634317136</x:v>
      </x:c>
      <x:c r="F90" s="1" t="n">
        <x:v>0.009087780336471788</x:v>
      </x:c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 ht="15" hidden="0" customHeight="1">
      <x:c r="A91" s="1" t="n">
        <x:v>0.4499995</x:v>
      </x:c>
      <x:c r="B91" s="1" t="n">
        <x:v>0.008597785366524918</x:v>
      </x:c>
      <x:c r="C91" s="1" t="n">
        <x:v>0.004870942147281062</x:v>
      </x:c>
      <x:c r="D91" s="1" t="n">
        <x:v>0.011351448541470894</x:v>
      </x:c>
      <x:c r="E91" s="1" t="n">
        <x:v>0.00796052563969226</x:v>
      </x:c>
      <x:c r="F91" s="1" t="n">
        <x:v>0.009957390213130458</x:v>
      </x:c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 ht="15" hidden="0" customHeight="1">
      <x:c r="A92" s="1" t="n">
        <x:v>0.4599985</x:v>
      </x:c>
      <x:c r="B92" s="1" t="n">
        <x:v>0.009561759269975725</x:v>
      </x:c>
      <x:c r="C92" s="1" t="n">
        <x:v>0.005165066140957305</x:v>
      </x:c>
      <x:c r="D92" s="1" t="n">
        <x:v>0.012259282483973118</x:v>
      </x:c>
      <x:c r="E92" s="1" t="n">
        <x:v>0.008487563343286908</x:v>
      </x:c>
      <x:c r="F92" s="1" t="n">
        <x:v>0.01083123007449886</x:v>
      </x:c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 ht="15" hidden="0" customHeight="1">
      <x:c r="A93" s="1" t="n">
        <x:v>0.4700003</x:v>
      </x:c>
      <x:c r="B93" s="1" t="n">
        <x:v>0.010605787402446453</x:v>
      </x:c>
      <x:c r="C93" s="1" t="n">
        <x:v>0.005482603595150623</x:v>
      </x:c>
      <x:c r="D93" s="1" t="n">
        <x:v>0.013206814620769577</x:v>
      </x:c>
      <x:c r="E93" s="1" t="n">
        <x:v>0.009045051277949199</x:v>
      </x:c>
      <x:c r="F93" s="1" t="n">
        <x:v>0.011753587436074693</x:v>
      </x:c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 ht="15" hidden="0" customHeight="1">
      <x:c r="A94" s="1" t="n">
        <x:v>0.4799974</x:v>
      </x:c>
      <x:c r="B94" s="1" t="n">
        <x:v>0.011682892883578795</x:v>
      </x:c>
      <x:c r="C94" s="1" t="n">
        <x:v>0.005809427209756876</x:v>
      </x:c>
      <x:c r="D94" s="1" t="n">
        <x:v>0.014165715371989919</x:v>
      </x:c>
      <x:c r="E94" s="1" t="n">
        <x:v>0.009594381991261553</x:v>
      </x:c>
      <x:c r="F94" s="1" t="n">
        <x:v>0.012668534543500172</x:v>
      </x:c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 ht="15" hidden="0" customHeight="1">
      <x:c r="A95" s="1" t="n">
        <x:v>0.4899985</x:v>
      </x:c>
      <x:c r="B95" s="1" t="n">
        <x:v>0.012823414182302581</x:v>
      </x:c>
      <x:c r="C95" s="1" t="n">
        <x:v>0.006155288584978131</x:v>
      </x:c>
      <x:c r="D95" s="1" t="n">
        <x:v>0.015142590021450103</x:v>
      </x:c>
      <x:c r="E95" s="1" t="n">
        <x:v>0.010175686578963417</x:v>
      </x:c>
      <x:c r="F95" s="1" t="n">
        <x:v>0.01365447182909766</x:v>
      </x:c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 ht="15" hidden="0" customHeight="1">
      <x:c r="A96" s="1" t="n">
        <x:v>0.4999996</x:v>
      </x:c>
      <x:c r="B96" s="1" t="n">
        <x:v>0.014041611581518842</x:v>
      </x:c>
      <x:c r="C96" s="1" t="n">
        <x:v>0.006524037148371301</x:v>
      </x:c>
      <x:c r="D96" s="1" t="n">
        <x:v>0.01612837876243404</x:v>
      </x:c>
      <x:c r="E96" s="1" t="n">
        <x:v>0.010747222589935953</x:v>
      </x:c>
      <x:c r="F96" s="1" t="n">
        <x:v>0.014601859665412383</x:v>
      </x:c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 ht="15" hidden="0" customHeight="1">
      <x:c r="A97" s="1" t="n">
        <x:v>0.510002</x:v>
      </x:c>
      <x:c r="B97" s="1" t="n">
        <x:v>0.015281918078074124</x:v>
      </x:c>
      <x:c r="C97" s="1" t="n">
        <x:v>0.006889797842966161</x:v>
      </x:c>
      <x:c r="D97" s="1" t="n">
        <x:v>0.017120702051703678</x:v>
      </x:c>
      <x:c r="E97" s="1" t="n">
        <x:v>0.011364630592284087</x:v>
      </x:c>
      <x:c r="F97" s="1" t="n">
        <x:v>0.015560085599674015</x:v>
      </x:c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 ht="15" hidden="0" customHeight="1">
      <x:c r="A98" s="1" t="n">
        <x:v>0.5200018</x:v>
      </x:c>
      <x:c r="B98" s="1" t="n">
        <x:v>0.016679340919739126</x:v>
      </x:c>
      <x:c r="C98" s="1" t="n">
        <x:v>0.007269475045784977</x:v>
      </x:c>
      <x:c r="D98" s="1" t="n">
        <x:v>0.018160882171328097</x:v>
      </x:c>
      <x:c r="E98" s="1" t="n">
        <x:v>0.01195991959431896</x:v>
      </x:c>
      <x:c r="F98" s="1" t="n">
        <x:v>0.016563426655137426</x:v>
      </x:c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 ht="15" hidden="0" customHeight="1">
      <x:c r="A99" s="1" t="n">
        <x:v>0.5300002</x:v>
      </x:c>
      <x:c r="B99" s="1" t="n">
        <x:v>0.01790722484246961</x:v>
      </x:c>
      <x:c r="C99" s="1" t="n">
        <x:v>0.007696579006934571</x:v>
      </x:c>
      <x:c r="D99" s="1" t="n">
        <x:v>0.019220076001487226</x:v>
      </x:c>
      <x:c r="E99" s="1" t="n">
        <x:v>0.012557623507357013</x:v>
      </x:c>
      <x:c r="F99" s="1" t="n">
        <x:v>0.017563485581996635</x:v>
      </x:c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 ht="15" hidden="0" customHeight="1">
      <x:c r="A100" s="1" t="n">
        <x:v>0.5399999</x:v>
      </x:c>
      <x:c r="B100" s="1" t="n">
        <x:v>0.019352606373652964</x:v>
      </x:c>
      <x:c r="C100" s="1" t="n">
        <x:v>0.008149402406887815</x:v>
      </x:c>
      <x:c r="D100" s="1" t="n">
        <x:v>0.02036159184176651</x:v>
      </x:c>
      <x:c r="E100" s="1" t="n">
        <x:v>0.01321138957226036</x:v>
      </x:c>
      <x:c r="F100" s="1" t="n">
        <x:v>0.01866045218531624</x:v>
      </x:c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  <x:row r="101" ht="15" hidden="0" customHeight="1">
      <x:c r="A101" s="1" t="n">
        <x:v>0.549999</x:v>
      </x:c>
      <x:c r="B101" s="1" t="n">
        <x:v>0.020690102074079095</x:v>
      </x:c>
      <x:c r="C101" s="1" t="n">
        <x:v>0.00860574843624816</x:v>
      </x:c>
      <x:c r="D101" s="1" t="n">
        <x:v>0.021425623982195628</x:v>
      </x:c>
      <x:c r="E101" s="1" t="n">
        <x:v>0.013844021275431708</x:v>
      </x:c>
      <x:c r="F101" s="1" t="n">
        <x:v>0.019696543791291453</x:v>
      </x:c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</x:row>
    <x:row r="102" ht="15" hidden="0" customHeight="1">
      <x:c r="A102" s="1" t="n">
        <x:v>0.5600008</x:v>
      </x:c>
      <x:c r="B102" s="1" t="n">
        <x:v>0.022201975003709733</x:v>
      </x:c>
      <x:c r="C102" s="1" t="n">
        <x:v>0.009072383655840571</x:v>
      </x:c>
      <x:c r="D102" s="1" t="n">
        <x:v>0.02249418319656159</x:v>
      </x:c>
      <x:c r="E102" s="1" t="n">
        <x:v>0.014496699427879614</x:v>
      </x:c>
      <x:c r="F102" s="1" t="n">
        <x:v>0.020758029452631103</x:v>
      </x:c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</x:row>
    <x:row r="103" ht="15" hidden="0" customHeight="1">
      <x:c r="A103" s="1" t="n">
        <x:v>0.5700019</x:v>
      </x:c>
      <x:c r="B103" s="1" t="n">
        <x:v>0.02365428861685887</x:v>
      </x:c>
      <x:c r="C103" s="1" t="n">
        <x:v>0.009554529762509067</x:v>
      </x:c>
      <x:c r="D103" s="1" t="n">
        <x:v>0.023583411332870414</x:v>
      </x:c>
      <x:c r="E103" s="1" t="n">
        <x:v>0.015129046774219305</x:v>
      </x:c>
      <x:c r="F103" s="1" t="n">
        <x:v>0.021793060025652372</x:v>
      </x:c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</x:row>
    <x:row r="104" ht="15" hidden="0" customHeight="1">
      <x:c r="A104" s="1" t="n">
        <x:v>0.5799983</x:v>
      </x:c>
      <x:c r="B104" s="1" t="n">
        <x:v>0.02520305719907472</x:v>
      </x:c>
      <x:c r="C104" s="1" t="n">
        <x:v>0.010059544666111612</x:v>
      </x:c>
      <x:c r="D104" s="1" t="n">
        <x:v>0.024662198904912412</x:v>
      </x:c>
      <x:c r="E104" s="1" t="n">
        <x:v>0.01579323925628343</x:v>
      </x:c>
      <x:c r="F104" s="1" t="n">
        <x:v>0.02288176471903725</x:v>
      </x:c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</x:row>
    <x:row r="105" ht="15" hidden="0" customHeight="1">
      <x:c r="A105" s="1" t="n">
        <x:v>0.5900001</x:v>
      </x:c>
      <x:c r="B105" s="1" t="n">
        <x:v>0.026663335632931478</x:v>
      </x:c>
      <x:c r="C105" s="1" t="n">
        <x:v>0.010591051440508278</x:v>
      </x:c>
      <x:c r="D105" s="1" t="n">
        <x:v>0.02579707975245302</x:v>
      </x:c>
      <x:c r="E105" s="1" t="n">
        <x:v>0.01644816538388309</x:v>
      </x:c>
      <x:c r="F105" s="1" t="n">
        <x:v>0.02394989952022163</x:v>
      </x:c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</x:row>
    <x:row r="106" ht="15" hidden="0" customHeight="1">
      <x:c r="A106" s="1" t="n">
        <x:v>0.5999998</x:v>
      </x:c>
      <x:c r="B106" s="1" t="n">
        <x:v>0.028275256896566195</x:v>
      </x:c>
      <x:c r="C106" s="1" t="n">
        <x:v>0.011130794660048777</x:v>
      </x:c>
      <x:c r="D106" s="1" t="n">
        <x:v>0.02684546519358795</x:v>
      </x:c>
      <x:c r="E106" s="1" t="n">
        <x:v>0.017138798807159548</x:v>
      </x:c>
      <x:c r="F106" s="1" t="n">
        <x:v>0.025024442960447844</x:v>
      </x:c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</x:row>
    <x:row r="107" ht="15" hidden="0" customHeight="1">
      <x:c r="A107" s="1" t="n">
        <x:v>0.6099989</x:v>
      </x:c>
      <x:c r="B107" s="1" t="n">
        <x:v>0.02985452663943148</x:v>
      </x:c>
      <x:c r="C107" s="1" t="n">
        <x:v>0.011717728381248977</x:v>
      </x:c>
      <x:c r="D107" s="1" t="n">
        <x:v>0.027939857023605984</x:v>
      </x:c>
      <x:c r="E107" s="1" t="n">
        <x:v>0.017813191352687607</x:v>
      </x:c>
      <x:c r="F107" s="1" t="n">
        <x:v>0.026095095946509588</x:v>
      </x:c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</x:row>
    <x:row r="108" ht="15" hidden="0" customHeight="1">
      <x:c r="A108" s="1" t="n">
        <x:v>0.619998</x:v>
      </x:c>
      <x:c r="B108" s="1" t="n">
        <x:v>0.03142438855677177</x:v>
      </x:c>
      <x:c r="C108" s="1" t="n">
        <x:v>0.012310279918262668</x:v>
      </x:c>
      <x:c r="D108" s="1" t="n">
        <x:v>0.029111690112156013</x:v>
      </x:c>
      <x:c r="E108" s="1" t="n">
        <x:v>0.018485461832307773</x:v>
      </x:c>
      <x:c r="F108" s="1" t="n">
        <x:v>0.027207963897032332</x:v>
      </x:c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</x:row>
    <x:row r="109" ht="15" hidden="0" customHeight="1">
      <x:c r="A109" s="1" t="n">
        <x:v>0.6299998</x:v>
      </x:c>
      <x:c r="B109" s="1" t="n">
        <x:v>0.03313267990683689</x:v>
      </x:c>
      <x:c r="C109" s="1" t="n">
        <x:v>0.01291175827919556</x:v>
      </x:c>
      <x:c r="D109" s="1" t="n">
        <x:v>0.03012861238942994</x:v>
      </x:c>
      <x:c r="E109" s="1" t="n">
        <x:v>0.019233249564036783</x:v>
      </x:c>
      <x:c r="F109" s="1" t="n">
        <x:v>0.028292735694934585</x:v>
      </x:c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</x:row>
    <x:row r="110" ht="15" hidden="0" customHeight="1">
      <x:c r="A110" s="1" t="n">
        <x:v>0.6399982</x:v>
      </x:c>
      <x:c r="B110" s="1" t="n">
        <x:v>0.034722701450302165</x:v>
      </x:c>
      <x:c r="C110" s="1" t="n">
        <x:v>0.013517162462058049</x:v>
      </x:c>
      <x:c r="D110" s="1" t="n">
        <x:v>0.031180449724441707</x:v>
      </x:c>
      <x:c r="E110" s="1" t="n">
        <x:v>0.019896720543692226</x:v>
      </x:c>
      <x:c r="F110" s="1" t="n">
        <x:v>0.02938288339313683</x:v>
      </x:c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</x:row>
    <x:row r="111" ht="15" hidden="0" customHeight="1">
      <x:c r="A111" s="1" t="n">
        <x:v>0.65</x:v>
      </x:c>
      <x:c r="B111" s="1" t="n">
        <x:v>0.03653002254273557</x:v>
      </x:c>
      <x:c r="C111" s="1" t="n">
        <x:v>0.014155068206365813</x:v>
      </x:c>
      <x:c r="D111" s="1" t="n">
        <x:v>0.032383123504186435</x:v>
      </x:c>
      <x:c r="E111" s="1" t="n">
        <x:v>0.02066445569495542</x:v>
      </x:c>
      <x:c r="F111" s="1" t="n">
        <x:v>0.03057374433932763</x:v>
      </x:c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</x:row>
    <x:row r="112" ht="15" hidden="0" customHeight="1">
      <x:c r="A112" s="1" t="n">
        <x:v>0.6600004</x:v>
      </x:c>
      <x:c r="B112" s="1" t="n">
        <x:v>0.03820386568956257</x:v>
      </x:c>
      <x:c r="C112" s="1" t="n">
        <x:v>0.014783411921692616</x:v>
      </x:c>
      <x:c r="D112" s="1" t="n">
        <x:v>0.03331081998358653</x:v>
      </x:c>
      <x:c r="E112" s="1" t="n">
        <x:v>0.02132055603235745</x:v>
      </x:c>
      <x:c r="F112" s="1" t="n">
        <x:v>0.03163547050147018</x:v>
      </x:c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</x:row>
    <x:row r="113" ht="15" hidden="0" customHeight="1">
      <x:c r="A113" s="1" t="n">
        <x:v>0.6699995</x:v>
      </x:c>
      <x:c r="B113" s="1" t="n">
        <x:v>0.04001642121123544</x:v>
      </x:c>
      <x:c r="C113" s="1" t="n">
        <x:v>0.01541469823507836</x:v>
      </x:c>
      <x:c r="D113" s="1" t="n">
        <x:v>0.03463225871864294</x:v>
      </x:c>
      <x:c r="E113" s="1" t="n">
        <x:v>0.022112652500243246</x:v>
      </x:c>
      <x:c r="F113" s="1" t="n">
        <x:v>0.03280436099196127</x:v>
      </x:c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</x:row>
    <x:row r="114" ht="15" hidden="0" customHeight="1">
      <x:c r="A114" s="1" t="n">
        <x:v>0.6799972</x:v>
      </x:c>
      <x:c r="B114" s="1" t="n">
        <x:v>0.04163483599654831</x:v>
      </x:c>
      <x:c r="C114" s="1" t="n">
        <x:v>0.016133993695217414</x:v>
      </x:c>
      <x:c r="D114" s="1" t="n">
        <x:v>0.03566894450307236</x:v>
      </x:c>
      <x:c r="E114" s="1" t="n">
        <x:v>0.022783833652697365</x:v>
      </x:c>
      <x:c r="F114" s="1" t="n">
        <x:v>0.0339160971739998</x:v>
      </x:c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</x:row>
    <x:row r="115" ht="15" hidden="0" customHeight="1">
      <x:c r="A115" s="1" t="n">
        <x:v>0.6899983</x:v>
      </x:c>
      <x:c r="B115" s="1" t="n">
        <x:v>0.04339964503529361</x:v>
      </x:c>
      <x:c r="C115" s="1" t="n">
        <x:v>0.01680735350200363</x:v>
      </x:c>
      <x:c r="D115" s="1" t="n">
        <x:v>0.03697915043592301</x:v>
      </x:c>
      <x:c r="E115" s="1" t="n">
        <x:v>0.02353515816093953</x:v>
      </x:c>
      <x:c r="F115" s="1" t="n">
        <x:v>0.03518125872117892</x:v>
      </x:c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</x:row>
    <x:row r="116" ht="15" hidden="0" customHeight="1">
      <x:c r="A116" s="1" t="n">
        <x:v>0.6999974</x:v>
      </x:c>
      <x:c r="B116" s="1" t="n">
        <x:v>0.04502210589293752</x:v>
      </x:c>
      <x:c r="C116" s="1" t="n">
        <x:v>0.017553585052066858</x:v>
      </x:c>
      <x:c r="D116" s="1" t="n">
        <x:v>0.03809695572645811</x:v>
      </x:c>
      <x:c r="E116" s="1" t="n">
        <x:v>0.02427366539109803</x:v>
      </x:c>
      <x:c r="F116" s="1" t="n">
        <x:v>0.03625177023618014</x:v>
      </x:c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</x:row>
    <x:row r="117" ht="15" hidden="0" customHeight="1">
      <x:c r="A117" s="1" t="n">
        <x:v>0.7100012</x:v>
      </x:c>
      <x:c r="B117" s="1" t="n">
        <x:v>0.04687172683246824</x:v>
      </x:c>
      <x:c r="C117" s="1" t="n">
        <x:v>0.018268636380390123</x:v>
      </x:c>
      <x:c r="D117" s="1" t="n">
        <x:v>0.0392999690367481</x:v>
      </x:c>
      <x:c r="E117" s="1" t="n">
        <x:v>0.025054529056778053</x:v>
      </x:c>
      <x:c r="F117" s="1" t="n">
        <x:v>0.03747840921357799</x:v>
      </x:c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</x:row>
    <x:row r="118" ht="15" hidden="0" customHeight="1">
      <x:c r="A118" s="1" t="n">
        <x:v>0.7199996</x:v>
      </x:c>
      <x:c r="B118" s="1" t="n">
        <x:v>0.04859057192364861</x:v>
      </x:c>
      <x:c r="C118" s="1" t="n">
        <x:v>0.019022875192479128</x:v>
      </x:c>
      <x:c r="D118" s="1" t="n">
        <x:v>0.040306507338179406</x:v>
      </x:c>
      <x:c r="E118" s="1" t="n">
        <x:v>0.025709681538074555</x:v>
      </x:c>
      <x:c r="F118" s="1" t="n">
        <x:v>0.0386019440820644</x:v>
      </x:c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</x:row>
    <x:row r="119" ht="15" hidden="0" customHeight="1">
      <x:c r="A119" s="1" t="n">
        <x:v>0.7299967</x:v>
      </x:c>
      <x:c r="B119" s="1" t="n">
        <x:v>0.05047032619907138</x:v>
      </x:c>
      <x:c r="C119" s="1" t="n">
        <x:v>0.01974253847737555</x:v>
      </x:c>
      <x:c r="D119" s="1" t="n">
        <x:v>0.04158027032583851</x:v>
      </x:c>
      <x:c r="E119" s="1" t="n">
        <x:v>0.02650701243519982</x:v>
      </x:c>
      <x:c r="F119" s="1" t="n">
        <x:v>0.03981429448234912</x:v>
      </x:c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</x:row>
    <x:row r="120" ht="15" hidden="0" customHeight="1">
      <x:c r="A120" s="1" t="n">
        <x:v>0.7399985</x:v>
      </x:c>
      <x:c r="B120" s="1" t="n">
        <x:v>0.052181560147195445</x:v>
      </x:c>
      <x:c r="C120" s="1" t="n">
        <x:v>0.02051683788584716</x:v>
      </x:c>
      <x:c r="D120" s="1" t="n">
        <x:v>0.04264109107319369</x:v>
      </x:c>
      <x:c r="E120" s="1" t="n">
        <x:v>0.02728470714912406</x:v>
      </x:c>
      <x:c r="F120" s="1" t="n">
        <x:v>0.04093638634601817</x:v>
      </x:c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</x:row>
    <x:row r="121" ht="15" hidden="0" customHeight="1">
      <x:c r="A121" s="1" t="n">
        <x:v>0.7499995</x:v>
      </x:c>
      <x:c r="B121" s="1" t="n">
        <x:v>0.05395709269232862</x:v>
      </x:c>
      <x:c r="C121" s="1" t="n">
        <x:v>0.021276141361903</x:v>
      </x:c>
      <x:c r="D121" s="1" t="n">
        <x:v>0.04396129901002353</x:v>
      </x:c>
      <x:c r="E121" s="1" t="n">
        <x:v>0.027989049118165493</x:v>
      </x:c>
      <x:c r="F121" s="1" t="n">
        <x:v>0.042223702261275683</x:v>
      </x:c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</x:row>
    <x:row r="122" ht="15" hidden="0" customHeight="1">
      <x:c r="A122" s="1" t="n">
        <x:v>0.7600006</x:v>
      </x:c>
      <x:c r="B122" s="1" t="n">
        <x:v>0.0557414388845326</x:v>
      </x:c>
      <x:c r="C122" s="1" t="n">
        <x:v>0.02219349630677863</x:v>
      </x:c>
      <x:c r="D122" s="1" t="n">
        <x:v>0.0452418526085879</x:v>
      </x:c>
      <x:c r="E122" s="1" t="n">
        <x:v>0.028784328684913135</x:v>
      </x:c>
      <x:c r="F122" s="1" t="n">
        <x:v>0.0432596099548722</x:v>
      </x:c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</x:row>
    <x:row r="123" ht="15" hidden="0" customHeight="1">
      <x:c r="A123" s="1" t="n">
        <x:v>0.7700004</x:v>
      </x:c>
      <x:c r="B123" s="1" t="n">
        <x:v>0.057492737436997655</x:v>
      </x:c>
      <x:c r="C123" s="1" t="n">
        <x:v>0.022888685098204027</x:v>
      </x:c>
      <x:c r="D123" s="1" t="n">
        <x:v>0.04670832747489569</x:v>
      </x:c>
      <x:c r="E123" s="1" t="n">
        <x:v>0.02950020054538745</x:v>
      </x:c>
      <x:c r="F123" s="1" t="n">
        <x:v>0.044524219764915274</x:v>
      </x:c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</x:row>
    <x:row r="124" ht="15" hidden="0" customHeight="1">
      <x:c r="A124" s="1" t="n">
        <x:v>0.7800015</x:v>
      </x:c>
      <x:c r="B124" s="1" t="n">
        <x:v>0.059320642568737605</x:v>
      </x:c>
      <x:c r="C124" s="1" t="n">
        <x:v>0.02372726895657871</x:v>
      </x:c>
      <x:c r="D124" s="1" t="n">
        <x:v>0.04804585146953393</x:v>
      </x:c>
      <x:c r="E124" s="1" t="n">
        <x:v>0.030334002681916352</x:v>
      </x:c>
      <x:c r="F124" s="1" t="n">
        <x:v>0.04565141873386931</x:v>
      </x:c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</x:row>
    <x:row r="125" ht="15" hidden="0" customHeight="1">
      <x:c r="A125" s="1" t="n">
        <x:v>0.7899999</x:v>
      </x:c>
      <x:c r="B125" s="1" t="n">
        <x:v>0.061276861952374764</x:v>
      </x:c>
      <x:c r="C125" s="1" t="n">
        <x:v>0.02458704517982021</x:v>
      </x:c>
      <x:c r="D125" s="1" t="n">
        <x:v>0.049203608187561615</x:v>
      </x:c>
      <x:c r="E125" s="1" t="n">
        <x:v>0.03102842752961491</x:v>
      </x:c>
      <x:c r="F125" s="1" t="n">
        <x:v>0.046913623535883436</x:v>
      </x:c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</x:row>
    <x:row r="126" ht="15" hidden="0" customHeight="1">
      <x:c r="A126" s="1" t="n">
        <x:v>0.7999983</x:v>
      </x:c>
      <x:c r="B126" s="1" t="n">
        <x:v>0.06328609054239107</x:v>
      </x:c>
      <x:c r="C126" s="1" t="n">
        <x:v>0.025446396989880125</x:v>
      </x:c>
      <x:c r="D126" s="1" t="n">
        <x:v>0.050655285180938384</x:v>
      </x:c>
      <x:c r="E126" s="1" t="n">
        <x:v>0.031888203752856406</x:v>
      </x:c>
      <x:c r="F126" s="1" t="n">
        <x:v>0.0481259597890621</x:v>
      </x:c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</x:row>
    <x:row r="127" ht="15" hidden="0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</x:row>
    <x:row r="128" ht="15" hidden="0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</x:row>
    <x:row r="129" ht="15" hidden="0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</x:row>
    <x:row r="130" ht="15" hidden="0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</x:row>
    <x:row r="131" ht="15" hidden="0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</x:row>
    <x:row r="132" ht="15" hidden="0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</x:row>
    <x:row r="133" ht="15" hidden="0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</x:row>
    <x:row r="134" ht="15" hidden="0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</x:row>
    <x:row r="135" ht="15" hidden="0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</x:row>
    <x:row r="136" ht="15" hidden="0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</x:row>
    <x:row r="137" ht="15" hidden="0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</x:row>
    <x:row r="138" ht="15" hidden="0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</x:row>
    <x:row r="139" ht="15" hidden="0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</x:row>
    <x:row r="140" ht="15" hidden="0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</x:row>
    <x:row r="141" ht="15" hidden="0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</x:row>
    <x:row r="142" ht="15" hidden="0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</x:row>
    <x:row r="143" ht="15" hidden="0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</x:row>
    <x:row r="144" ht="15" hidden="0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</x:row>
    <x:row r="145" ht="15" hidden="0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</x:row>
    <x:row r="146" ht="15" hidden="0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</x:row>
    <x:row r="147" ht="15" hidden="0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</x:row>
    <x:row r="148" ht="15" hidden="0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</x:row>
    <x:row r="149" ht="15" hidden="0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</x:row>
    <x:row r="150" ht="15" hidden="0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</x:row>
    <x:row r="151" ht="15" hidden="0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</x:row>
    <x:row r="152" ht="15" hidden="0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</x:row>
    <x:row r="153" ht="15" hidden="0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</x:row>
    <x:row r="154" ht="15" hidden="0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</x:row>
    <x:row r="155" ht="15" hidden="0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</x:row>
    <x:row r="156" ht="15" hidden="0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</x:row>
    <x:row r="157" ht="15" hidden="0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</x:row>
    <x:row r="158" ht="15" hidden="0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</x:row>
    <x:row r="159" ht="15" hidden="0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</x:row>
    <x:row r="160" ht="15" hidden="0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</x:row>
    <x:row r="161" ht="15" hidden="0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</x:row>
    <x:row r="162" ht="15" hidden="0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</x:row>
    <x:row r="163" ht="15" hidden="0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</x:row>
    <x:row r="164" ht="15" hidden="0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</x:row>
    <x:row r="165" ht="15" hidden="0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</x:row>
    <x:row r="166" ht="15" hidden="0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</x:row>
    <x:row r="167" ht="15" hidden="0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</x:row>
    <x:row r="168" ht="15" hidden="0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</x:row>
    <x:row r="169" ht="15" hidden="0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</x:row>
    <x:row r="170" ht="15" hidden="0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</x:row>
    <x:row r="171" ht="15" hidden="0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</x:row>
    <x:row r="172" ht="15" hidden="0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</x:row>
    <x:row r="173" ht="15" hidden="0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</x:row>
    <x:row r="174" ht="15" hidden="0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</x:row>
    <x:row r="175" ht="15" hidden="0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</x:row>
    <x:row r="176" ht="15" hidden="0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</x:row>
    <x:row r="177" ht="15" hidden="0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</x:row>
    <x:row r="178" ht="15" hidden="0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</x:row>
    <x:row r="179" ht="15" hidden="0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</x:row>
    <x:row r="180" ht="15" hidden="0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</x:row>
    <x:row r="181" ht="15" hidden="0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</x:row>
    <x:row r="182" ht="15" hidden="0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</x:row>
    <x:row r="183" ht="15" hidden="0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</x:row>
    <x:row r="184" ht="15" hidden="0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</x:row>
    <x:row r="185" ht="15" hidden="0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</x:row>
    <x:row r="186" ht="15" hidden="0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</x:row>
    <x:row r="187" ht="15" hidden="0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</x:row>
    <x:row r="188" ht="15" hidden="0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</x:row>
    <x:row r="189" ht="15" hidden="0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</x:row>
    <x:row r="190" ht="15" hidden="0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</x:row>
    <x:row r="191" ht="15" hidden="0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</x:row>
    <x:row r="192" ht="15" hidden="0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</x:row>
    <x:row r="193" ht="15" hidden="0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</x:row>
    <x:row r="194" ht="15" hidden="0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</x:row>
    <x:row r="195" ht="15" hidden="0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</x:row>
    <x:row r="196" ht="15" hidden="0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</x:row>
    <x:row r="197" ht="15" hidden="0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</x:row>
    <x:row r="198" ht="15" hidden="0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</x:row>
    <x:row r="199" ht="15" hidden="0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</x:row>
    <x:row r="200" ht="15" hidden="0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</x:row>
    <x:row r="201" ht="15" hidden="0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</x:row>
    <x:row r="202" ht="15" hidden="0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</x:row>
    <x:row r="203" ht="15" hidden="0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</x:row>
    <x:row r="204" ht="15" hidden="0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</x:row>
    <x:row r="205" ht="15" hidden="0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</x:row>
    <x:row r="206" ht="15" hidden="0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</x:row>
    <x:row r="207" ht="15" hidden="0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</x:row>
    <x:row r="208" ht="15" hidden="0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</x:row>
    <x:row r="209" ht="15" hidden="0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</x:row>
    <x:row r="210" ht="15" hidden="0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</x:row>
    <x:row r="211" ht="15" hidden="0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</x:row>
    <x:row r="212" ht="15" hidden="0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</x:row>
    <x:row r="213" ht="15" hidden="0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</x:row>
    <x:row r="214" ht="15" hidden="0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</x:row>
    <x:row r="215" ht="15" hidden="0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</x:row>
    <x:row r="216" ht="15" hidden="0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</x:row>
    <x:row r="217" ht="15" hidden="0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</x:row>
    <x:row r="218" ht="15" hidden="0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</x:row>
    <x:row r="219" ht="15" hidden="0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</x:row>
    <x:row r="220" ht="15" hidden="0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</x:row>
    <x:row r="221" ht="15" hidden="0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</x:row>
    <x:row r="222" ht="15" hidden="0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</x:row>
    <x:row r="223" ht="15" hidden="0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</x:row>
    <x:row r="224" ht="15" hidden="0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</x:row>
    <x:row r="225" ht="15" hidden="0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</x:row>
    <x:row r="226" ht="15" hidden="0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</x:row>
    <x:row r="227" ht="15" hidden="0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</x:row>
    <x:row r="228" ht="15" hidden="0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</x:row>
    <x:row r="229" ht="15" hidden="0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</x:row>
    <x:row r="230" ht="15" hidden="0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</x:row>
    <x:row r="231" ht="15" hidden="0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</x:row>
    <x:row r="232" ht="15" hidden="0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</x:row>
    <x:row r="233" ht="15" hidden="0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</x:row>
    <x:row r="234" ht="15" hidden="0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</x:row>
    <x:row r="235" ht="15" hidden="0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</x:row>
    <x:row r="236" ht="15" hidden="0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</x:row>
    <x:row r="237" ht="15" hidden="0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</x:row>
    <x:row r="238" ht="15" hidden="0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</x:row>
    <x:row r="239" ht="15" hidden="0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</x:row>
    <x:row r="240" ht="15" hidden="0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</x:row>
  </x:sheetData>
  <x:pageMargins left="0.7" right="0.7" top="0.75" bottom="0.75" header="0.3" footer="0.3"/>
  <x:drawing xmlns:r="http://schemas.openxmlformats.org/officeDocument/2006/relationships" r:id="Rb923c8f486a14bb1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.75" hidden="0" customWidth="1"/>
    <x:col min="2" max="2" width="10.630000114440918" hidden="0" customWidth="1"/>
    <x:col min="3" max="3" width="10.630000114440918" hidden="0" customWidth="1"/>
    <x:col min="4" max="4" width="10.630000114440918" hidden="0" customWidth="1"/>
    <x:col min="5" max="5" width="10.630000114440918" hidden="0" customWidth="1"/>
    <x:col min="6" max="6" width="10.630000114440918" hidden="0" customWidth="1"/>
  </x:cols>
  <x:sheetData>
    <x:row r="1" ht="15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19.200000762939453" hidden="0" customHeight="1">
      <x:c r="A2" s="2" t="str">
        <x:v>I-V curves: gap label 15 um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15" hidden="0" customHeight="1">
      <x:c r="A3" s="3" t="str">
        <x:v>Rows 1-5 compared in the -0.4 V to +0.8 V display window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15" hidden="0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</x:row>
    <x:row r="5" ht="15" hidden="0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15" hidden="0" customHeight="1">
      <x:c r="A6" s="9" t="str">
        <x:v>Voltage (V)</x:v>
      </x:c>
      <x:c r="B6" s="9" t="str">
        <x:v>Row 1</x:v>
      </x:c>
      <x:c r="C6" s="9" t="str">
        <x:v>Row 2</x:v>
      </x:c>
      <x:c r="D6" s="9" t="str">
        <x:v>Row 3</x:v>
      </x:c>
      <x:c r="E6" s="9" t="str">
        <x:v>Row 4</x:v>
      </x:c>
      <x:c r="F6" s="9" t="str">
        <x:v>Row 5</x:v>
      </x:c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15" hidden="0" customHeight="1">
      <x:c r="A7" s="1" t="n">
        <x:v>-0.3999987</x:v>
      </x:c>
      <x:c r="B7" s="1" t="n">
        <x:v>-0.00007125710341494126</x:v>
      </x:c>
      <x:c r="C7" s="1" t="n">
        <x:v>-0.00009329540417528659</x:v>
      </x:c>
      <x:c r="D7" s="1" t="n">
        <x:v>-0.00008266181622699127</x:v>
      </x:c>
      <x:c r="E7" s="1" t="n">
        <x:v>-0.00001092218466301849</x:v>
      </x:c>
      <x:c r="F7" s="1" t="n">
        <x:v>-0.000004682272517886479</x:v>
      </x:c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15" hidden="0" customHeight="1">
      <x:c r="A8" s="1" t="n">
        <x:v>-0.3899996</x:v>
      </x:c>
      <x:c r="B8" s="1" t="n">
        <x:v>-0.00006925177942619548</x:v>
      </x:c>
      <x:c r="C8" s="1" t="n">
        <x:v>-0.00008962527704048143</x:v>
      </x:c>
      <x:c r="D8" s="1" t="n">
        <x:v>-0.00008125084045772786</x:v>
      </x:c>
      <x:c r="E8" s="1" t="n">
        <x:v>-0.000010926914040571879</x:v>
      </x:c>
      <x:c r="F8" s="1" t="n">
        <x:v>-0.000004597140892504275</x:v>
      </x:c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15" hidden="0" customHeight="1">
      <x:c r="A9" s="1" t="n">
        <x:v>-0.3799999</x:v>
      </x:c>
      <x:c r="B9" s="1" t="n">
        <x:v>-0.00006645188322600471</x:v>
      </x:c>
      <x:c r="C9" s="1" t="n">
        <x:v>-0.0000870650045226098</x:v>
      </x:c>
      <x:c r="D9" s="1" t="n">
        <x:v>-0.00007992498782558304</x:v>
      </x:c>
      <x:c r="E9" s="1" t="n">
        <x:v>-0.00001079133383500606</x:v>
      </x:c>
      <x:c r="F9" s="1" t="n">
        <x:v>-0.000004634977327641988</x:v>
      </x:c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15" hidden="0" customHeight="1">
      <x:c r="A10" s="1" t="n">
        <x:v>-0.3699994</x:v>
      </x:c>
      <x:c r="B10" s="1" t="n">
        <x:v>-0.00006506139246630547</x:v>
      </x:c>
      <x:c r="C10" s="1" t="n">
        <x:v>-0.00009033155716305208</x:v>
      </x:c>
      <x:c r="D10" s="1" t="n">
        <x:v>-0.00007841310074884635</x:v>
      </x:c>
      <x:c r="E10" s="1" t="n">
        <x:v>-0.000010474452806533581</x:v>
      </x:c>
      <x:c r="F10" s="1" t="n">
        <x:v>-0.000004493090342197913</x:v>
      </x:c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15" hidden="0" customHeight="1">
      <x:c r="A11" s="1" t="n">
        <x:v>-0.359999</x:v>
      </x:c>
      <x:c r="B11" s="1" t="n">
        <x:v>-0.00006594739742416851</x:v>
      </x:c>
      <x:c r="C11" s="1" t="n">
        <x:v>-0.00008709969322665081</x:v>
      </x:c>
      <x:c r="D11" s="1" t="n">
        <x:v>-0.00007720391930031742</x:v>
      </x:c>
      <x:c r="E11" s="1" t="n">
        <x:v>-0.000010439769761334995</x:v>
      </x:c>
      <x:c r="F11" s="1" t="n">
        <x:v>-0.000004466290064491843</x:v>
      </x:c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15" hidden="0" customHeight="1">
      <x:c r="A12" s="1" t="n">
        <x:v>-0.3500006</x:v>
      </x:c>
      <x:c r="B12" s="1" t="n">
        <x:v>-0.000056738947064780404</x:v>
      </x:c>
      <x:c r="C12" s="1" t="n">
        <x:v>-0.0000865573639161239</x:v>
      </x:c>
      <x:c r="D12" s="1" t="n">
        <x:v>-0.00007579451385982587</x:v>
      </x:c>
      <x:c r="E12" s="1" t="n">
        <x:v>-0.000010174914715371003</x:v>
      </x:c>
      <x:c r="F12" s="1" t="n">
        <x:v>-0.0000044221468494758745</x:v>
      </x:c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15" hidden="0" customHeight="1">
      <x:c r="A13" s="1" t="n">
        <x:v>-0.3400002</x:v>
      </x:c>
      <x:c r="B13" s="1" t="n">
        <x:v>-0.000053373081739848795</x:v>
      </x:c>
      <x:c r="C13" s="1" t="n">
        <x:v>-0.00008278475514507361</x:v>
      </x:c>
      <x:c r="D13" s="1" t="n">
        <x:v>-0.00007449230104189494</x:v>
      </x:c>
      <x:c r="E13" s="1" t="n">
        <x:v>-0.000010062981397572124</x:v>
      </x:c>
      <x:c r="F13" s="1" t="n">
        <x:v>-0.000004329132456601155</x:v>
      </x:c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15" hidden="0" customHeight="1">
      <x:c r="A14" s="1" t="n">
        <x:v>-0.3300004</x:v>
      </x:c>
      <x:c r="B14" s="1" t="n">
        <x:v>-0.00005156481279130986</x:v>
      </x:c>
      <x:c r="C14" s="1" t="n">
        <x:v>-0.00008105689834733774</x:v>
      </x:c>
      <x:c r="D14" s="1" t="n">
        <x:v>-0.00007319325717571981</x:v>
      </x:c>
      <x:c r="E14" s="1" t="n">
        <x:v>-0.000009835962786745845</x:v>
      </x:c>
      <x:c r="F14" s="1" t="n">
        <x:v>-0.000004143103670851716</x:v>
      </x:c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15" hidden="0" customHeight="1">
      <x:c r="A15" s="1" t="n">
        <x:v>-0.3199993</x:v>
      </x:c>
      <x:c r="B15" s="1" t="n">
        <x:v>-0.000049479076651761034</x:v>
      </x:c>
      <x:c r="C15" s="1" t="n">
        <x:v>-0.00008100329496250438</x:v>
      </x:c>
      <x:c r="D15" s="1" t="n">
        <x:v>-0.00007174285342188778</x:v>
      </x:c>
      <x:c r="E15" s="1" t="n">
        <x:v>-0.000009703535971119151</x:v>
      </x:c>
      <x:c r="F15" s="1" t="n">
        <x:v>-0.0000041888228734819455</x:v>
      </x:c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15" hidden="0" customHeight="1">
      <x:c r="A16" s="1" t="n">
        <x:v>-0.3100009</x:v>
      </x:c>
      <x:c r="B16" s="1" t="n">
        <x:v>-0.00004819737713760641</x:v>
      </x:c>
      <x:c r="C16" s="1" t="n">
        <x:v>-0.00008206271514636036</x:v>
      </x:c>
      <x:c r="D16" s="1" t="n">
        <x:v>-0.00007045956943185526</x:v>
      </x:c>
      <x:c r="E16" s="1" t="n">
        <x:v>-0.000009623133723290336</x:v>
      </x:c>
      <x:c r="F16" s="1" t="n">
        <x:v>-0.000004095808480607226</x:v>
      </x:c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15" hidden="0" customHeight="1">
      <x:c r="A17" s="1" t="n">
        <x:v>-0.2999998</x:v>
      </x:c>
      <x:c r="B17" s="1" t="n">
        <x:v>-0.0000457679512036154</x:v>
      </x:c>
      <x:c r="C17" s="1" t="n">
        <x:v>-0.000081214539550082</x:v>
      </x:c>
      <x:c r="D17" s="1" t="n">
        <x:v>-0.00006911007698549652</x:v>
      </x:c>
      <x:c r="E17" s="1" t="n">
        <x:v>-0.000009381925565093286</x:v>
      </x:c>
      <x:c r="F17" s="1" t="n">
        <x:v>-0.0000039491921176097616</x:v>
      </x:c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15" hidden="0" customHeight="1">
      <x:c r="A18" s="1" t="n">
        <x:v>-0.29</x:v>
      </x:c>
      <x:c r="B18" s="1" t="n">
        <x:v>-0.00004454930534113727</x:v>
      </x:c>
      <x:c r="C18" s="1" t="n">
        <x:v>-0.00007886080063347248</x:v>
      </x:c>
      <x:c r="D18" s="1" t="n">
        <x:v>-0.00006765020881771528</x:v>
      </x:c>
      <x:c r="E18" s="1" t="n">
        <x:v>-0.000009238462592034948</x:v>
      </x:c>
      <x:c r="F18" s="1" t="n">
        <x:v>-0.000003955497482777411</x:v>
      </x:c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15" hidden="0" customHeight="1">
      <x:c r="A19" s="1" t="n">
        <x:v>-0.2799996</x:v>
      </x:c>
      <x:c r="B19" s="1" t="n">
        <x:v>-0.00004183454642517113</x:v>
      </x:c>
      <x:c r="C19" s="1" t="n">
        <x:v>-0.00008186407563027562</x:v>
      </x:c>
      <x:c r="D19" s="1" t="n">
        <x:v>-0.00006629599123793497</x:v>
      </x:c>
      <x:c r="E19" s="1" t="n">
        <x:v>-0.000009158060344206133</x:v>
      </x:c>
      <x:c r="F19" s="1" t="n">
        <x:v>-0.0000038120345097190745</x:v>
      </x:c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15" hidden="0" customHeight="1">
      <x:c r="A20" s="1" t="n">
        <x:v>-0.2699992</x:v>
      </x:c>
      <x:c r="B20" s="1" t="n">
        <x:v>-0.000041306406662014976</x:v>
      </x:c>
      <x:c r="C20" s="1" t="n">
        <x:v>-0.0000796064945935057</x:v>
      </x:c>
      <x:c r="D20" s="1" t="n">
        <x:v>-0.00006483455274138189</x:v>
      </x:c>
      <x:c r="E20" s="1" t="n">
        <x:v>-0.000008942077890811497</x:v>
      </x:c>
      <x:c r="F20" s="1" t="n">
        <x:v>-0.000003851446932471049</x:v>
      </x:c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15" hidden="0" customHeight="1">
      <x:c r="A21" s="1" t="n">
        <x:v>-0.2600001</x:v>
      </x:c>
      <x:c r="B21" s="1" t="n">
        <x:v>-0.0000389085287745213</x:v>
      </x:c>
      <x:c r="C21" s="1" t="n">
        <x:v>-0.00007485801844694618</x:v>
      </x:c>
      <x:c r="D21" s="1" t="n">
        <x:v>-0.00006331163092192417</x:v>
      </x:c>
      <x:c r="E21" s="1" t="n">
        <x:v>-0.000008741859557691288</x:v>
      </x:c>
      <x:c r="F21" s="1" t="n">
        <x:v>-0.000003657535379229094</x:v>
      </x:c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15" hidden="0" customHeight="1">
      <x:c r="A22" s="1" t="n">
        <x:v>-0.2499997</x:v>
      </x:c>
      <x:c r="B22" s="1" t="n">
        <x:v>-0.00003623001474426194</x:v>
      </x:c>
      <x:c r="C22" s="1" t="n">
        <x:v>-0.00007400039258382467</x:v>
      </x:c>
      <x:c r="D22" s="1" t="n">
        <x:v>-0.00006179975799229353</x:v>
      </x:c>
      <x:c r="E22" s="1" t="n">
        <x:v>-0.000008801766892981682</x:v>
      </x:c>
      <x:c r="F22" s="1" t="n">
        <x:v>-0.0000036780302917675144</x:v>
      </x:c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15" hidden="0" customHeight="1">
      <x:c r="A23" s="1" t="n">
        <x:v>-0.2400006</x:v>
      </x:c>
      <x:c r="B23" s="1" t="n">
        <x:v>-0.00003466138362514822</x:v>
      </x:c>
      <x:c r="C23" s="1" t="n">
        <x:v>-0.00007415489312902527</x:v>
      </x:c>
      <x:c r="D23" s="1" t="n">
        <x:v>-0.00006065520052421293</x:v>
      </x:c>
      <x:c r="E23" s="1" t="n">
        <x:v>-0.00000855583077194185</x:v>
      </x:c>
      <x:c r="F23" s="1" t="n">
        <x:v>-0.0000034856947261398202</x:v>
      </x:c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15" hidden="0" customHeight="1">
      <x:c r="A24" s="1" t="n">
        <x:v>-0.2300008</x:v>
      </x:c>
      <x:c r="B24" s="1" t="n">
        <x:v>-0.000033058063801993495</x:v>
      </x:c>
      <x:c r="C24" s="1" t="n">
        <x:v>-0.00007137549608550472</x:v>
      </x:c>
      <x:c r="D24" s="1" t="n">
        <x:v>-0.00005896675756393964</x:v>
      </x:c>
      <x:c r="E24" s="1" t="n">
        <x:v>-0.00000844389745414297</x:v>
      </x:c>
      <x:c r="F24" s="1" t="n">
        <x:v>-0.0000035156498084956232</x:v>
      </x:c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15" hidden="0" customHeight="1">
      <x:c r="A25" s="1" t="n">
        <x:v>-0.2199997</x:v>
      </x:c>
      <x:c r="B25" s="1" t="n">
        <x:v>-0.00003083201666461485</x:v>
      </x:c>
      <x:c r="C25" s="1" t="n">
        <x:v>-0.00006899022326950392</x:v>
      </x:c>
      <x:c r="D25" s="1" t="n">
        <x:v>-0.00005752738855282864</x:v>
      </x:c>
      <x:c r="E25" s="1" t="n">
        <x:v>-0.000008243680535733366</x:v>
      </x:c>
      <x:c r="F25" s="1" t="n">
        <x:v>-0.000003315431475375414</x:v>
      </x:c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15" hidden="0" customHeight="1">
      <x:c r="A26" s="1" t="n">
        <x:v>-0.2100006</x:v>
      </x:c>
      <x:c r="B26" s="1" t="n">
        <x:v>-0.000028628053159784335</x:v>
      </x:c>
      <x:c r="C26" s="1" t="n">
        <x:v>-0.00006725447238659068</x:v>
      </x:c>
      <x:c r="D26" s="1" t="n">
        <x:v>-0.000055976101785735426</x:v>
      </x:c>
      <x:c r="E26" s="1" t="n">
        <x:v>-0.000008073415870258354</x:v>
      </x:c>
      <x:c r="F26" s="1" t="n">
        <x:v>-0.000003216110302622439</x:v>
      </x:c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15" hidden="0" customHeight="1">
      <x:c r="A27" s="1" t="n">
        <x:v>-0.1999995</x:v>
      </x:c>
      <x:c r="B27" s="1" t="n">
        <x:v>-0.000027754653273414177</x:v>
      </x:c>
      <x:c r="C27" s="1" t="n">
        <x:v>-0.00006583875733679967</x:v>
      </x:c>
      <x:c r="D27" s="1" t="n">
        <x:v>-0.000054486284194440814</x:v>
      </x:c>
      <x:c r="E27" s="1" t="n">
        <x:v>-0.000007991436220104672</x:v>
      </x:c>
      <x:c r="F27" s="1" t="n">
        <x:v>-0.000003175121892256204</x:v>
      </x:c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15" hidden="0" customHeight="1">
      <x:c r="A28" s="1" t="n">
        <x:v>-0.1899991</x:v>
      </x:c>
      <x:c r="B28" s="1" t="n">
        <x:v>-0.000025828156959593557</x:v>
      </x:c>
      <x:c r="C28" s="1" t="n">
        <x:v>-0.0000625091510446809</x:v>
      </x:c>
      <x:c r="D28" s="1" t="n">
        <x:v>-0.00005284670533847324</x:v>
      </x:c>
      <x:c r="E28" s="1" t="n">
        <x:v>-0.000007756536256496482</x:v>
      </x:c>
      <x:c r="F28" s="1" t="n">
        <x:v>-0.0000030300815168730007</x:v>
      </x:c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15" hidden="0" customHeight="1">
      <x:c r="A29" s="1" t="n">
        <x:v>-0.1800007</x:v>
      </x:c>
      <x:c r="B29" s="1" t="n">
        <x:v>-0.000023873267403925344</x:v>
      </x:c>
      <x:c r="C29" s="1" t="n">
        <x:v>-0.0000597392042680035</x:v>
      </x:c>
      <x:c r="D29" s="1" t="n">
        <x:v>-0.000051251265453389814</x:v>
      </x:c>
      <x:c r="E29" s="1" t="n">
        <x:v>-0.000007614649271052406</x:v>
      </x:c>
      <x:c r="F29" s="1" t="n">
        <x:v>-0.0000029008066764748288</x:v>
      </x:c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15" hidden="0" customHeight="1">
      <x:c r="A30" s="1" t="n">
        <x:v>-0.1700009</x:v>
      </x:c>
      <x:c r="B30" s="1" t="n">
        <x:v>-0.000022917899185086345</x:v>
      </x:c>
      <x:c r="C30" s="1" t="n">
        <x:v>-0.00005787576160585937</x:v>
      </x:c>
      <x:c r="D30" s="1" t="n">
        <x:v>-0.000049668444786905325</x:v>
      </x:c>
      <x:c r="E30" s="1" t="n">
        <x:v>-0.000007455420763009037</x:v>
      </x:c>
      <x:c r="F30" s="1" t="n">
        <x:v>-0.0000027841439811225614</x:v>
      </x:c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15" hidden="0" customHeight="1">
      <x:c r="A31" s="1" t="n">
        <x:v>-0.1600005</x:v>
      </x:c>
      <x:c r="B31" s="1" t="n">
        <x:v>-0.000020531056040313703</x:v>
      </x:c>
      <x:c r="C31" s="1" t="n">
        <x:v>-0.00005528712414035226</x:v>
      </x:c>
      <x:c r="D31" s="1" t="n">
        <x:v>-0.000047874365385737166</x:v>
      </x:c>
      <x:c r="E31" s="1" t="n">
        <x:v>-0.000007261509209767082</x:v>
      </x:c>
      <x:c r="F31" s="1" t="n">
        <x:v>-0.0000026659052981560338</x:v>
      </x:c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15" hidden="0" customHeight="1">
      <x:c r="A32" s="1" t="n">
        <x:v>-0.1500001</x:v>
      </x:c>
      <x:c r="B32" s="1" t="n">
        <x:v>-0.000019733329024218968</x:v>
      </x:c>
      <x:c r="C32" s="1" t="n">
        <x:v>-0.00005344890576829995</x:v>
      </x:c>
      <x:c r="D32" s="1" t="n">
        <x:v>-0.00004616699359756547</x:v>
      </x:c>
      <x:c r="E32" s="1" t="n">
        <x:v>-0.000007036066586555065</x:v>
      </x:c>
      <x:c r="F32" s="1" t="n">
        <x:v>-0.000002509830180051792</x:v>
      </x:c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15" hidden="0" customHeight="1">
      <x:c r="A33" s="1" t="n">
        <x:v>-0.1400003</x:v>
      </x:c>
      <x:c r="B33" s="1" t="n">
        <x:v>-0.000017775298811007074</x:v>
      </x:c>
      <x:c r="C33" s="1" t="n">
        <x:v>-0.00005125123772566285</x:v>
      </x:c>
      <x:c r="D33" s="1" t="n">
        <x:v>-0.00004428936138805058</x:v>
      </x:c>
      <x:c r="E33" s="1" t="n">
        <x:v>-0.0000069446281812946066</x:v>
      </x:c>
      <x:c r="F33" s="1" t="n">
        <x:v>-0.0000024183917747913338</x:v>
      </x:c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15" hidden="0" customHeight="1">
      <x:c r="A34" s="1" t="n">
        <x:v>-0.1300006</x:v>
      </x:c>
      <x:c r="B34" s="1" t="n">
        <x:v>-0.000016446291374212513</x:v>
      </x:c>
      <x:c r="C34" s="1" t="n">
        <x:v>-0.00004683383215494658</x:v>
      </x:c>
      <x:c r="D34" s="1" t="n">
        <x:v>-0.00004246848736801877</x:v>
      </x:c>
      <x:c r="E34" s="1" t="n">
        <x:v>-0.000006761752785484295</x:v>
      </x:c>
      <x:c r="F34" s="1" t="n">
        <x:v>-0.0000022733528141187357</x:v>
      </x:c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15" hidden="0" customHeight="1">
      <x:c r="A35" s="1" t="n">
        <x:v>-0.1200001</x:v>
      </x:c>
      <x:c r="B35" s="1" t="n">
        <x:v>-0.000014950178320724486</x:v>
      </x:c>
      <x:c r="C35" s="1" t="n">
        <x:v>-0.0000440496958308984</x:v>
      </x:c>
      <x:c r="D35" s="1" t="n">
        <x:v>-0.000040434784284531456</x:v>
      </x:c>
      <x:c r="E35" s="1" t="n">
        <x:v>-0.00000654734631970392</x:v>
      </x:c>
      <x:c r="F35" s="1" t="n">
        <x:v>-0.0000020747118833233923</x:v>
      </x:c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15" hidden="0" customHeight="1">
      <x:c r="A36" s="1" t="n">
        <x:v>-0.1100004</x:v>
      </x:c>
      <x:c r="B36" s="1" t="n">
        <x:v>-0.000013461942375886556</x:v>
      </x:c>
      <x:c r="C36" s="1" t="n">
        <x:v>-0.00004181419842667661</x:v>
      </x:c>
      <x:c r="D36" s="1" t="n">
        <x:v>-0.00003835534360717604</x:v>
      </x:c>
      <x:c r="E36" s="1" t="n">
        <x:v>-0.000006377081654228908</x:v>
      </x:c>
      <x:c r="F36" s="1" t="n">
        <x:v>-0.000001962778565524514</x:v>
      </x:c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15" hidden="0" customHeight="1">
      <x:c r="A37" s="1" t="n">
        <x:v>-0.09999928</x:v>
      </x:c>
      <x:c r="B37" s="1" t="n">
        <x:v>-0.000012136089743741727</x:v>
      </x:c>
      <x:c r="C37" s="1" t="n">
        <x:v>-0.00003874944010696881</x:v>
      </x:c>
      <x:c r="D37" s="1" t="n">
        <x:v>-0.00003608043236549167</x:v>
      </x:c>
      <x:c r="E37" s="1" t="n">
        <x:v>-0.000006121686778082297</x:v>
      </x:c>
      <x:c r="F37" s="1" t="n">
        <x:v>-0.000001811432824973661</x:v>
      </x:c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15" hidden="0" customHeight="1">
      <x:c r="A38" s="1" t="n">
        <x:v>-0.08999952</x:v>
      </x:c>
      <x:c r="B38" s="1" t="n">
        <x:v>-0.000011201215022730539</x:v>
      </x:c>
      <x:c r="C38" s="1" t="n">
        <x:v>-0.000035973197868098</x:v>
      </x:c>
      <x:c r="D38" s="1" t="n">
        <x:v>-0.00003376926209099446</x:v>
      </x:c>
      <x:c r="E38" s="1" t="n">
        <x:v>-0.0000059403859551756415</x:v>
      </x:c>
      <x:c r="F38" s="1" t="n">
        <x:v>-0.0000016648164619761962</x:v>
      </x:c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15" hidden="0" customHeight="1">
      <x:c r="A39" s="1" t="n">
        <x:v>-0.08000042</x:v>
      </x:c>
      <x:c r="B39" s="1" t="n">
        <x:v>-0.000009599472601900677</x:v>
      </x:c>
      <x:c r="C39" s="1" t="n">
        <x:v>-0.000032184829220905105</x:v>
      </x:c>
      <x:c r="D39" s="1" t="n">
        <x:v>-0.00003119953930627969</x:v>
      </x:c>
      <x:c r="E39" s="1" t="n">
        <x:v>-0.00000553522132609244</x:v>
      </x:c>
      <x:c r="F39" s="1" t="n">
        <x:v>-0.0000014992821643519963</x:v>
      </x:c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15" hidden="0" customHeight="1">
      <x:c r="A40" s="1" t="n">
        <x:v>-0.06999933</x:v>
      </x:c>
      <x:c r="B40" s="1" t="n">
        <x:v>-0.000008395012042661503</x:v>
      </x:c>
      <x:c r="C40" s="1" t="n">
        <x:v>-0.000028935620932483338</x:v>
      </x:c>
      <x:c r="D40" s="1" t="n">
        <x:v>-0.000028580938270153142</x:v>
      </x:c>
      <x:c r="E40" s="1" t="n">
        <x:v>-0.000005319238872697803</x:v>
      </x:c>
      <x:c r="F40" s="1" t="n">
        <x:v>-0.000001351089389327089</x:v>
      </x:c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15" hidden="0" customHeight="1">
      <x:c r="A41" s="1" t="n">
        <x:v>-0.05999957</x:v>
      </x:c>
      <x:c r="B41" s="1" t="n">
        <x:v>-0.000007217353175839004</x:v>
      </x:c>
      <x:c r="C41" s="1" t="n">
        <x:v>-0.000025937085216207818</x:v>
      </x:c>
      <x:c r="D41" s="1" t="n">
        <x:v>-0.000025613922306162846</x:v>
      </x:c>
      <x:c r="E41" s="1" t="n">
        <x:v>-0.000004895155318690442</x:v>
      </x:c>
      <x:c r="F41" s="1" t="n">
        <x:v>-0.0000011004230419075038</x:v>
      </x:c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15" hidden="0" customHeight="1">
      <x:c r="A42" s="1" t="n">
        <x:v>-0.04999915</x:v>
      </x:c>
      <x:c r="B42" s="1" t="n">
        <x:v>-0.000006027080749259995</x:v>
      </x:c>
      <x:c r="C42" s="1" t="n">
        <x:v>-0.000022754085384112283</x:v>
      </x:c>
      <x:c r="D42" s="1" t="n">
        <x:v>-0.000022423056683102055</x:v>
      </x:c>
      <x:c r="E42" s="1" t="n">
        <x:v>-0.000004526249722420086</x:v>
      </x:c>
      <x:c r="F42" s="1" t="n">
        <x:v>-9.538068203811e-7</x:v>
      </x:c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15" hidden="0" customHeight="1">
      <x:c r="A43" s="1" t="n">
        <x:v>-0.03999939</x:v>
      </x:c>
      <x:c r="B43" s="1" t="n">
        <x:v>-0.00000508905263830968</x:v>
      </x:c>
      <x:c r="C43" s="1" t="n">
        <x:v>-0.000018949956860776775</x:v>
      </x:c>
      <x:c r="D43" s="1" t="n">
        <x:v>-0.00001889322639902066</x:v>
      </x:c>
      <x:c r="E43" s="1" t="n">
        <x:v>-0.0000039807740955070685</x:v>
      </x:c>
      <x:c r="F43" s="1" t="n">
        <x:v>-7.70930717215486e-7</x:v>
      </x:c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15" hidden="0" customHeight="1">
      <x:c r="A44" s="1" t="n">
        <x:v>-0.02999963</x:v>
      </x:c>
      <x:c r="B44" s="1" t="n">
        <x:v>-0.0000036954099033819397</x:v>
      </x:c>
      <x:c r="C44" s="1" t="n">
        <x:v>-0.00001481789558972049</x:v>
      </x:c>
      <x:c r="D44" s="1" t="n">
        <x:v>-0.000015054409171644145</x:v>
      </x:c>
      <x:c r="E44" s="1" t="n">
        <x:v>-0.000003332825320612555</x:v>
      </x:c>
      <x:c r="F44" s="1" t="n">
        <x:v>-5.013460107559838e-7</x:v>
      </x:c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15" hidden="0" customHeight="1">
      <x:c r="A45" s="1" t="n">
        <x:v>-0.02000054</x:v>
      </x:c>
      <x:c r="B45" s="1" t="n">
        <x:v>-0.0000025697770190679245</x:v>
      </x:c>
      <x:c r="C45" s="1" t="n">
        <x:v>-0.000010182931577995314</x:v>
      </x:c>
      <x:c r="D45" s="1" t="n">
        <x:v>-0.000010666957268573065</x:v>
      </x:c>
      <x:c r="E45" s="1" t="n">
        <x:v>-0.0000025051531251362527</x:v>
      </x:c>
      <x:c r="F45" s="1" t="n">
        <x:v>-2.66444788055355e-7</x:v>
      </x:c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15" hidden="0" customHeight="1">
      <x:c r="A46" s="1" t="n">
        <x:v>-0.01000011</x:v>
      </x:c>
      <x:c r="B46" s="1" t="n">
        <x:v>-0.0000012549599784704958</x:v>
      </x:c>
      <x:c r="C46" s="1" t="n">
        <x:v>-0.000005458106563334548</x:v>
      </x:c>
      <x:c r="D46" s="1" t="n">
        <x:v>-0.000005715113643086019</x:v>
      </x:c>
      <x:c r="E46" s="1" t="n">
        <x:v>-0.00000151667643400232</x:v>
      </x:c>
      <x:c r="F46" s="1" t="n">
        <x:v>-1.3174445753016908e-11</x:v>
      </x:c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15" hidden="0" customHeight="1">
      <x:c r="A47" s="1" t="n">
        <x:v>-3.555944e-7</x:v>
      </x:c>
      <x:c r="B47" s="1" t="n">
        <x:v>-5.140493194613851e-11</x:v>
      </x:c>
      <x:c r="C47" s="1" t="n">
        <x:v>-1.9973368645873153e-10</x:v>
      </x:c>
      <x:c r="D47" s="1" t="n">
        <x:v>-2.33888443706234e-10</x:v>
      </x:c>
      <x:c r="E47" s="1" t="n">
        <x:v>-6.514340595094821e-11</x:v>
      </x:c>
      <x:c r="F47" s="1" t="n">
        <x:v>3.704686923809846e-7</x:v>
      </x:c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15" hidden="0" customHeight="1">
      <x:c r="A48" s="1" t="n">
        <x:v>0.01000007</x:v>
      </x:c>
      <x:c r="B48" s="1" t="n">
        <x:v>0.000001445615897793673</x:v>
      </x:c>
      <x:c r="C48" s="1" t="n">
        <x:v>0.000005616935604005</x:v>
      </x:c>
      <x:c r="D48" s="1" t="n">
        <x:v>0.000006577001228538607</x:v>
      </x:c>
      <x:c r="E48" s="1" t="n">
        <x:v>0.0000018318487830406047</x:v>
      </x:c>
      <x:c r="F48" s="1" t="n">
        <x:v>7.362208987122126e-7</x:v>
      </x:c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15" hidden="0" customHeight="1">
      <x:c r="A49" s="1" t="n">
        <x:v>0.02000116</x:v>
      </x:c>
      <x:c r="B49" s="1" t="n">
        <x:v>0.0000028881298105801645</x:v>
      </x:c>
      <x:c r="C49" s="1" t="n">
        <x:v>0.000012090123646624907</x:v>
      </x:c>
      <x:c r="D49" s="1" t="n">
        <x:v>0.000014390231450674117</x:v>
      </x:c>
      <x:c r="E49" s="1" t="n">
        <x:v>0.000004329054916840285</x:v>
      </x:c>
      <x:c r="F49" s="1" t="n">
        <x:v>0.000001135080021156705</x:v>
      </x:c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15" hidden="0" customHeight="1">
      <x:c r="A50" s="1" t="n">
        <x:v>0.02999959</x:v>
      </x:c>
      <x:c r="B50" s="1" t="n">
        <x:v>0.000004653831531717388</x:v>
      </x:c>
      <x:c r="C50" s="1" t="n">
        <x:v>0.00001990649877043591</x:v>
      </x:c>
      <x:c r="D50" s="1" t="n">
        <x:v>0.00002360654760102748</x:v>
      </x:c>
      <x:c r="E50" s="1" t="n">
        <x:v>0.000007765865149204539</x:v>
      </x:c>
      <x:c r="F50" s="1" t="n">
        <x:v>0.0000016048824948521743</x:v>
      </x:c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15" hidden="0" customHeight="1">
      <x:c r="A51" s="1" t="n">
        <x:v>0.03999935</x:v>
      </x:c>
      <x:c r="B51" s="1" t="n">
        <x:v>0.000006345434955482841</x:v>
      </x:c>
      <x:c r="C51" s="1" t="n">
        <x:v>0.000028761809068538705</x:v>
      </x:c>
      <x:c r="D51" s="1" t="n">
        <x:v>0.000034836095972410035</x:v>
      </x:c>
      <x:c r="E51" s="1" t="n">
        <x:v>0.000012448124351174203</x:v>
      </x:c>
      <x:c r="F51" s="1" t="n">
        <x:v>0.000002205536079502198</x:v>
      </x:c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15" hidden="0" customHeight="1">
      <x:c r="A52" s="1" t="n">
        <x:v>0.04999977</x:v>
      </x:c>
      <x:c r="B52" s="1" t="n">
        <x:v>0.000008186808132184885</x:v>
      </x:c>
      <x:c r="C52" s="1" t="n">
        <x:v>0.00003779052044552837</x:v>
      </x:c>
      <x:c r="D52" s="1" t="n">
        <x:v>0.000048499781264099114</x:v>
      </x:c>
      <x:c r="E52" s="1" t="n">
        <x:v>0.000019097875350883748</x:v>
      </x:c>
      <x:c r="F52" s="1" t="n">
        <x:v>0.000002840872709350807</x:v>
      </x:c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15" hidden="0" customHeight="1">
      <x:c r="A53" s="1" t="n">
        <x:v>0.05999953</x:v>
      </x:c>
      <x:c r="B53" s="1" t="n">
        <x:v>0.000009750715532587636</x:v>
      </x:c>
      <x:c r="C53" s="1" t="n">
        <x:v>0.00005015673219981416</x:v>
      </x:c>
      <x:c r="D53" s="1" t="n">
        <x:v>0.00006560027961757367</x:v>
      </x:c>
      <x:c r="E53" s="1" t="n">
        <x:v>0.000028128171203751306</x:v>
      </x:c>
      <x:c r="F53" s="1" t="n">
        <x:v>0.0000035818372918306454</x:v>
      </x:c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15" hidden="0" customHeight="1">
      <x:c r="A54" s="1" t="n">
        <x:v>0.06999996</x:v>
      </x:c>
      <x:c r="B54" s="1" t="n">
        <x:v>0.00001223688409424507</x:v>
      </x:c>
      <x:c r="C54" s="1" t="n">
        <x:v>0.00006039463917243881</x:v>
      </x:c>
      <x:c r="D54" s="1" t="n">
        <x:v>0.0000869447541686655</x:v>
      </x:c>
      <x:c r="E54" s="1" t="n">
        <x:v>0.000040752935468254656</x:v>
      </x:c>
      <x:c r="F54" s="1" t="n">
        <x:v>0.0000045498190704261575</x:v>
      </x:c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15" hidden="0" customHeight="1">
      <x:c r="A55" s="1" t="n">
        <x:v>0.08000105</x:v>
      </x:c>
      <x:c r="B55" s="1" t="n">
        <x:v>0.000014566980367219469</x:v>
      </x:c>
      <x:c r="C55" s="1" t="n">
        <x:v>0.00007716722175471984</x:v>
      </x:c>
      <x:c r="D55" s="1" t="n">
        <x:v>0.00011426109000932262</x:v>
      </x:c>
      <x:c r="E55" s="1" t="n">
        <x:v>0.00005844304276068395</x:v>
      </x:c>
      <x:c r="F55" s="1" t="n">
        <x:v>0.000005541449151499219</x:v>
      </x:c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15" hidden="0" customHeight="1">
      <x:c r="A56" s="1" t="n">
        <x:v>0.08999947</x:v>
      </x:c>
      <x:c r="B56" s="1" t="n">
        <x:v>0.000018847229744755664</x:v>
      </x:c>
      <x:c r="C56" s="1" t="n">
        <x:v>0.00009528457164993804</x:v>
      </x:c>
      <x:c r="D56" s="1" t="n">
        <x:v>0.00014951679591381216</x:v>
      </x:c>
      <x:c r="E56" s="1" t="n">
        <x:v>0.00008287120445938199</x:v>
      </x:c>
      <x:c r="F56" s="1" t="n">
        <x:v>0.000006949280019087125</x:v>
      </x:c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15" hidden="0" customHeight="1">
      <x:c r="A57" s="1" t="n">
        <x:v>0.09999923</x:v>
      </x:c>
      <x:c r="B57" s="1" t="n">
        <x:v>0.000021516265213959774</x:v>
      </x:c>
      <x:c r="C57" s="1" t="n">
        <x:v>0.00011439670360145785</x:v>
      </x:c>
      <x:c r="D57" s="1" t="n">
        <x:v>0.0001952925869682518</x:v>
      </x:c>
      <x:c r="E57" s="1" t="n">
        <x:v>0.00011759874230650327</x:v>
      </x:c>
      <x:c r="F57" s="1" t="n">
        <x:v>0.000008421747599518813</x:v>
      </x:c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15" hidden="0" customHeight="1">
      <x:c r="A58" s="1" t="n">
        <x:v>0.1099997</x:v>
      </x:c>
      <x:c r="B58" s="1" t="n">
        <x:v>0.000025520631876363966</x:v>
      </x:c>
      <x:c r="C58" s="1" t="n">
        <x:v>0.00013716163248286834</x:v>
      </x:c>
      <x:c r="D58" s="1" t="n">
        <x:v>0.0002553012155379831</x:v>
      </x:c>
      <x:c r="E58" s="1" t="n">
        <x:v>0.00016454120275578372</x:v>
      </x:c>
      <x:c r="F58" s="1" t="n">
        <x:v>0.000010043984932887094</x:v>
      </x:c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15" hidden="0" customHeight="1">
      <x:c r="A59" s="1" t="n">
        <x:v>0.1200001</x:v>
      </x:c>
      <x:c r="B59" s="1" t="n">
        <x:v>0.00002965741545142061</x:v>
      </x:c>
      <x:c r="C59" s="1" t="n">
        <x:v>0.0001670367129539434</x:v>
      </x:c>
      <x:c r="D59" s="1" t="n">
        <x:v>0.0003342342864032343</x:v>
      </x:c>
      <x:c r="E59" s="1" t="n">
        <x:v>0.0002304348859723415</x:v>
      </x:c>
      <x:c r="F59" s="1" t="n">
        <x:v>0.000011899547656959911</x:v>
      </x:c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15" hidden="0" customHeight="1">
      <x:c r="A60" s="1" t="n">
        <x:v>0.1300005</x:v>
      </x:c>
      <x:c r="B60" s="1" t="n">
        <x:v>0.00003483470452954089</x:v>
      </x:c>
      <x:c r="C60" s="1" t="n">
        <x:v>0.00019794898850526577</x:v>
      </x:c>
      <x:c r="D60" s="1" t="n">
        <x:v>0.00043756404165621633</x:v>
      </x:c>
      <x:c r="E60" s="1" t="n">
        <x:v>0.0003197083595935685</x:v>
      </x:c>
      <x:c r="F60" s="1" t="n">
        <x:v>0.000014328967932108494</x:v>
      </x:c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15" hidden="0" customHeight="1">
      <x:c r="A61" s="1" t="n">
        <x:v>0.1399996</x:v>
      </x:c>
      <x:c r="B61" s="1" t="n">
        <x:v>0.00004092163837973812</x:v>
      </x:c>
      <x:c r="C61" s="1" t="n">
        <x:v>0.00023965904275124496</x:v>
      </x:c>
      <x:c r="D61" s="1" t="n">
        <x:v>0.0005726164186952145</x:v>
      </x:c>
      <x:c r="E61" s="1" t="n">
        <x:v>0.0004403561532497962</x:v>
      </x:c>
      <x:c r="F61" s="1" t="n">
        <x:v>0.000017489884131655903</x:v>
      </x:c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15" hidden="0" customHeight="1">
      <x:c r="A62" s="1" t="n">
        <x:v>0.1499994</x:v>
      </x:c>
      <x:c r="B62" s="1" t="n">
        <x:v>0.00004693605416430967</x:v>
      </x:c>
      <x:c r="C62" s="1" t="n">
        <x:v>0.000291818149527684</x:v>
      </x:c>
      <x:c r="D62" s="1" t="n">
        <x:v>0.000746671942708085</x:v>
      </x:c>
      <x:c r="E62" s="1" t="n">
        <x:v>0.0005988436358781293</x:v>
      </x:c>
      <x:c r="F62" s="1" t="n">
        <x:v>0.000020389093016336025</x:v>
      </x:c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15" hidden="0" customHeight="1">
      <x:c r="A63" s="1" t="n">
        <x:v>0.1599998</x:v>
      </x:c>
      <x:c r="B63" s="1" t="n">
        <x:v>0.00005442609799280504</x:v>
      </x:c>
      <x:c r="C63" s="1" t="n">
        <x:v>0.0003299525227188653</x:v>
      </x:c>
      <x:c r="D63" s="1" t="n">
        <x:v>0.0009668280753303628</x:v>
      </x:c>
      <x:c r="E63" s="1" t="n">
        <x:v>0.0008046928001493997</x:v>
      </x:c>
      <x:c r="F63" s="1" t="n">
        <x:v>0.000023881093938832733</x:v>
      </x:c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15" hidden="0" customHeight="1">
      <x:c r="A64" s="1" t="n">
        <x:v>0.1700002</x:v>
      </x:c>
      <x:c r="B64" s="1" t="n">
        <x:v>0.00006341855033698187</x:v>
      </x:c>
      <x:c r="C64" s="1" t="n">
        <x:v>0.00040324330327715286</x:v>
      </x:c>
      <x:c r="D64" s="1" t="n">
        <x:v>0.0012415490301133268</x:v>
      </x:c>
      <x:c r="E64" s="1" t="n">
        <x:v>0.0010643469455152703</x:v>
      </x:c>
      <x:c r="F64" s="1" t="n">
        <x:v>0.00002886131382964011</x:v>
      </x:c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15" hidden="0" customHeight="1">
      <x:c r="A65" s="1" t="n">
        <x:v>0.1799993</x:v>
      </x:c>
      <x:c r="B65" s="1" t="n">
        <x:v>0.00007334273108578378</x:v>
      </x:c>
      <x:c r="C65" s="1" t="n">
        <x:v>0.0004536256750044443</x:v>
      </x:c>
      <x:c r="D65" s="1" t="n">
        <x:v>0.0015733132385663338</x:v>
      </x:c>
      <x:c r="E65" s="1" t="n">
        <x:v>0.0013827831653561106</x:v>
      </x:c>
      <x:c r="F65" s="1" t="n">
        <x:v>0.00003333073830931185</x:v>
      </x:c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15" hidden="0" customHeight="1">
      <x:c r="A66" s="1" t="n">
        <x:v>0.1900004</x:v>
      </x:c>
      <x:c r="B66" s="1" t="n">
        <x:v>0.00008471259045499615</x:v>
      </x:c>
      <x:c r="C66" s="1" t="n">
        <x:v>0.0005311083845571815</x:v>
      </x:c>
      <x:c r="D66" s="1" t="n">
        <x:v>0.0019696670499999686</x:v>
      </x:c>
      <x:c r="E66" s="1" t="n">
        <x:v>0.0017601260956762446</x:v>
      </x:c>
      <x:c r="F66" s="1" t="n">
        <x:v>0.00003896994454715599</x:v>
      </x:c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15" hidden="0" customHeight="1">
      <x:c r="A67" s="1" t="n">
        <x:v>0.1999995</x:v>
      </x:c>
      <x:c r="B67" s="1" t="n">
        <x:v>0.00009896274402809627</x:v>
      </x:c>
      <x:c r="C67" s="1" t="n">
        <x:v>0.0006194737554408913</x:v>
      </x:c>
      <x:c r="D67" s="1" t="n">
        <x:v>0.0024243140119233953</x:v>
      </x:c>
      <x:c r="E67" s="1" t="n">
        <x:v>0.0022039674979966854</x:v>
      </x:c>
      <x:c r="F67" s="1" t="n">
        <x:v>0.000046491508127936584</x:v>
      </x:c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15" hidden="0" customHeight="1">
      <x:c r="A68" s="1" t="n">
        <x:v>0.2099992</x:v>
      </x:c>
      <x:c r="B68" s="1" t="n">
        <x:v>0.00011313879505969285</x:v>
      </x:c>
      <x:c r="C68" s="1" t="n">
        <x:v>0.0007225481554296236</x:v>
      </x:c>
      <x:c r="D68" s="1" t="n">
        <x:v>0.0029439584378949464</x:v>
      </x:c>
      <x:c r="E68" s="1" t="n">
        <x:v>0.00269850646956727</x:v>
      </x:c>
      <x:c r="F68" s="1" t="n">
        <x:v>0.00005341715316046298</x:v>
      </x:c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15" hidden="0" customHeight="1">
      <x:c r="A69" s="1" t="n">
        <x:v>0.2199997</x:v>
      </x:c>
      <x:c r="B69" s="1" t="n">
        <x:v>0.00012954718869086148</x:v>
      </x:c>
      <x:c r="C69" s="1" t="n">
        <x:v>0.0008324377822881418</x:v>
      </x:c>
      <x:c r="D69" s="1" t="n">
        <x:v>0.0035158594442036397</x:v>
      </x:c>
      <x:c r="E69" s="1" t="n">
        <x:v>0.0032510103787672254</x:v>
      </x:c>
      <x:c r="F69" s="1" t="n">
        <x:v>0.00006467980576000865</x:v>
      </x:c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15" hidden="0" customHeight="1">
      <x:c r="A70" s="1" t="n">
        <x:v>0.2299994</x:v>
      </x:c>
      <x:c r="B70" s="1" t="n">
        <x:v>0.0001487034879074775</x:v>
      </x:c>
      <x:c r="C70" s="1" t="n">
        <x:v>0.0009516557279356318</x:v>
      </x:c>
      <x:c r="D70" s="1" t="n">
        <x:v>0.004143495804227812</x:v>
      </x:c>
      <x:c r="E70" s="1" t="n">
        <x:v>0.003848141334010148</x:v>
      </x:c>
      <x:c r="F70" s="1" t="n">
        <x:v>0.00007277838735535717</x:v>
      </x:c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 ht="15" hidden="0" customHeight="1">
      <x:c r="A71" s="1" t="n">
        <x:v>0.2399999</x:v>
      </x:c>
      <x:c r="B71" s="1" t="n">
        <x:v>0.00017117984411962683</x:v>
      </x:c>
      <x:c r="C71" s="1" t="n">
        <x:v>0.0010911681216287767</x:v>
      </x:c>
      <x:c r="D71" s="1" t="n">
        <x:v>0.004806577738466805</x:v>
      </x:c>
      <x:c r="E71" s="1" t="n">
        <x:v>0.0044929225718594815</x:v>
      </x:c>
      <x:c r="F71" s="1" t="n">
        <x:v>0.00008649252122722987</x:v>
      </x:c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 ht="15" hidden="0" customHeight="1">
      <x:c r="A72" s="1" t="n">
        <x:v>0.2500009</x:v>
      </x:c>
      <x:c r="B72" s="1" t="n">
        <x:v>0.00019301151670895854</x:v>
      </x:c>
      <x:c r="C72" s="1" t="n">
        <x:v>0.0012551070501034237</x:v>
      </x:c>
      <x:c r="D72" s="1" t="n">
        <x:v>0.0055109013162703765</x:v>
      </x:c>
      <x:c r="E72" s="1" t="n">
        <x:v>0.005171805408848639</x:v>
      </x:c>
      <x:c r="F72" s="1" t="n">
        <x:v>0.00010041632935790835</x:v>
      </x:c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 ht="15" hidden="0" customHeight="1">
      <x:c r="A73" s="1" t="n">
        <x:v>0.2600007</x:v>
      </x:c>
      <x:c r="B73" s="1" t="n">
        <x:v>0.0002209804868460348</x:v>
      </x:c>
      <x:c r="C73" s="1" t="n">
        <x:v>0.001419632800537133</x:v>
      </x:c>
      <x:c r="D73" s="1" t="n">
        <x:v>0.006253516866026555</x:v>
      </x:c>
      <x:c r="E73" s="1" t="n">
        <x:v>0.005877894545487576</x:v>
      </x:c>
      <x:c r="F73" s="1" t="n">
        <x:v>0.00011671753036651633</x:v>
      </x:c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 ht="15" hidden="0" customHeight="1">
      <x:c r="A74" s="1" t="n">
        <x:v>0.2699998</x:v>
      </x:c>
      <x:c r="B74" s="1" t="n">
        <x:v>0.00025120549598532123</x:v>
      </x:c>
      <x:c r="C74" s="1" t="n">
        <x:v>0.0016389454826965541</x:v>
      </x:c>
      <x:c r="D74" s="1" t="n">
        <x:v>0.007008194238403191</x:v>
      </x:c>
      <x:c r="E74" s="1" t="n">
        <x:v>0.006616210789714365</x:v>
      </x:c>
      <x:c r="F74" s="1" t="n">
        <x:v>0.00013472136388276837</x:v>
      </x:c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 ht="15" hidden="0" customHeight="1">
      <x:c r="A75" s="1" t="n">
        <x:v>0.2800009</x:v>
      </x:c>
      <x:c r="B75" s="1" t="n">
        <x:v>0.00028388828185912815</x:v>
      </x:c>
      <x:c r="C75" s="1" t="n">
        <x:v>0.0018414358410488133</x:v>
      </x:c>
      <x:c r="D75" s="1" t="n">
        <x:v>0.007799265041100173</x:v>
      </x:c>
      <x:c r="E75" s="1" t="n">
        <x:v>0.007366499729793481</x:v>
      </x:c>
      <x:c r="F75" s="1" t="n">
        <x:v>0.00015763606817595786</x:v>
      </x:c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 ht="15" hidden="0" customHeight="1">
      <x:c r="A76" s="1" t="n">
        <x:v>0.2899993</x:v>
      </x:c>
      <x:c r="B76" s="1" t="n">
        <x:v>0.00032251299374609296</x:v>
      </x:c>
      <x:c r="C76" s="1" t="n">
        <x:v>0.002078087216386317</x:v>
      </x:c>
      <x:c r="D76" s="1" t="n">
        <x:v>0.008601475275102985</x:v>
      </x:c>
      <x:c r="E76" s="1" t="n">
        <x:v>0.008150772848032183</x:v>
      </x:c>
      <x:c r="F76" s="1" t="n">
        <x:v>0.0001786541406962038</x:v>
      </x:c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 ht="15" hidden="0" customHeight="1">
      <x:c r="A77" s="1" t="n">
        <x:v>0.3000004</x:v>
      </x:c>
      <x:c r="B77" s="1" t="n">
        <x:v>0.00036604547819376975</x:v>
      </x:c>
      <x:c r="C77" s="1" t="n">
        <x:v>0.002344317361058624</x:v>
      </x:c>
      <x:c r="D77" s="1" t="n">
        <x:v>0.009455053651182831</x:v>
      </x:c>
      <x:c r="E77" s="1" t="n">
        <x:v>0.008934331537415227</x:v>
      </x:c>
      <x:c r="F77" s="1" t="n">
        <x:v>0.0002088051604708351</x:v>
      </x:c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 ht="15" hidden="0" customHeight="1">
      <x:c r="A78" s="1" t="n">
        <x:v>0.3099995</x:v>
      </x:c>
      <x:c r="B78" s="1" t="n">
        <x:v>0.00041910632151000236</x:v>
      </x:c>
      <x:c r="C78" s="1" t="n">
        <x:v>0.002638663464299893</x:v>
      </x:c>
      <x:c r="D78" s="1" t="n">
        <x:v>0.0102763172076173</x:v>
      </x:c>
      <x:c r="E78" s="1" t="n">
        <x:v>0.009753427757202436</x:v>
      </x:c>
      <x:c r="F78" s="1" t="n">
        <x:v>0.00024204916204174912</x:v>
      </x:c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 ht="15" hidden="0" customHeight="1">
      <x:c r="A79" s="1" t="n">
        <x:v>0.3199986</x:v>
      </x:c>
      <x:c r="B79" s="1" t="n">
        <x:v>0.00047637027003446624</x:v>
      </x:c>
      <x:c r="C79" s="1" t="n">
        <x:v>0.00294447155286499</x:v>
      </x:c>
      <x:c r="D79" s="1" t="n">
        <x:v>0.011156625125872953</x:v>
      </x:c>
      <x:c r="E79" s="1" t="n">
        <x:v>0.010562922336111738</x:v>
      </x:c>
      <x:c r="F79" s="1" t="n">
        <x:v>0.0002760955874679674</x:v>
      </x:c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 ht="15" hidden="0" customHeight="1">
      <x:c r="A80" s="1" t="n">
        <x:v>0.3299997</x:v>
      </x:c>
      <x:c r="B80" s="1" t="n">
        <x:v>0.0005423537873744581</x:v>
      </x:c>
      <x:c r="C80" s="1" t="n">
        <x:v>0.0032990942308646276</x:v>
      </x:c>
      <x:c r="D80" s="1" t="n">
        <x:v>0.012017930651278739</x:v>
      </x:c>
      <x:c r="E80" s="1" t="n">
        <x:v>0.011404761443589125</x:v>
      </x:c>
      <x:c r="F80" s="1" t="n">
        <x:v>0.0003196753232498599</x:v>
      </x:c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 ht="15" hidden="0" customHeight="1">
      <x:c r="A81" s="1" t="n">
        <x:v>0.3400008</x:v>
      </x:c>
      <x:c r="B81" s="1" t="n">
        <x:v>0.0006132781815033252</x:v>
      </x:c>
      <x:c r="C81" s="1" t="n">
        <x:v>0.003669158475120692</x:v>
      </x:c>
      <x:c r="D81" s="1" t="n">
        <x:v>0.01289887518930676</x:v>
      </x:c>
      <x:c r="E81" s="1" t="n">
        <x:v>0.01221350198174582</x:v>
      </x:c>
      <x:c r="F81" s="1" t="n">
        <x:v>0.0003656640282503913</x:v>
      </x:c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 ht="15" hidden="0" customHeight="1">
      <x:c r="A82" s="1" t="n">
        <x:v>0.3499999</x:v>
      </x:c>
      <x:c r="B82" s="1" t="n">
        <x:v>0.0006850586170194358</x:v>
      </x:c>
      <x:c r="C82" s="1" t="n">
        <x:v>0.004019174855389599</x:v>
      </x:c>
      <x:c r="D82" s="1" t="n">
        <x:v>0.013782953311325436</x:v>
      </x:c>
      <x:c r="E82" s="1" t="n">
        <x:v>0.013079512834624706</x:v>
      </x:c>
      <x:c r="F82" s="1" t="n">
        <x:v>0.0004179066029525408</x:v>
      </x:c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 ht="15" hidden="0" customHeight="1">
      <x:c r="A83" s="1" t="n">
        <x:v>0.3600003</x:v>
      </x:c>
      <x:c r="B83" s="1" t="n">
        <x:v>0.0007613054353874168</x:v>
      </x:c>
      <x:c r="C83" s="1" t="n">
        <x:v>0.004476382443508548</x:v>
      </x:c>
      <x:c r="D83" s="1" t="n">
        <x:v>0.014681465725649592</x:v>
      </x:c>
      <x:c r="E83" s="1" t="n">
        <x:v>0.013916781012136496</x:v>
      </x:c>
      <x:c r="F83" s="1" t="n">
        <x:v>0.00047678332156700256</x:v>
      </x:c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 ht="15" hidden="0" customHeight="1">
      <x:c r="A84" s="1" t="n">
        <x:v>0.3700007</x:v>
      </x:c>
      <x:c r="B84" s="1" t="n">
        <x:v>0.0008598724259167262</x:v>
      </x:c>
      <x:c r="C84" s="1" t="n">
        <x:v>0.004895937508868469</x:v>
      </x:c>
      <x:c r="D84" s="1" t="n">
        <x:v>0.015591577352226289</x:v>
      </x:c>
      <x:c r="E84" s="1" t="n">
        <x:v>0.01474387317626464</x:v>
      </x:c>
      <x:c r="F84" s="1" t="n">
        <x:v>0.0005443607933459425</x:v>
      </x:c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 ht="15" hidden="0" customHeight="1">
      <x:c r="A85" s="1" t="n">
        <x:v>0.3800005</x:v>
      </x:c>
      <x:c r="B85" s="1" t="n">
        <x:v>0.0009671040944900794</x:v>
      </x:c>
      <x:c r="C85" s="1" t="n">
        <x:v>0.005368551295478713</x:v>
      </x:c>
      <x:c r="D85" s="1" t="n">
        <x:v>0.01646919307620013</x:v>
      </x:c>
      <x:c r="E85" s="1" t="n">
        <x:v>0.015635565270760834</x:v>
      </x:c>
      <x:c r="F85" s="1" t="n">
        <x:v>0.0006112256753930121</x:v>
      </x:c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 ht="15" hidden="0" customHeight="1">
      <x:c r="A86" s="1" t="n">
        <x:v>0.3899996</x:v>
      </x:c>
      <x:c r="B86" s="1" t="n">
        <x:v>0.0010779302597692805</x:v>
      </x:c>
      <x:c r="C86" s="1" t="n">
        <x:v>0.00586876184186579</x:v>
      </x:c>
      <x:c r="D86" s="1" t="n">
        <x:v>0.017423585144721504</x:v>
      </x:c>
      <x:c r="E86" s="1" t="n">
        <x:v>0.016474290600196045</x:v>
      </x:c>
      <x:c r="F86" s="1" t="n">
        <x:v>0.0007007907208699835</x:v>
      </x:c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 ht="15" hidden="0" customHeight="1">
      <x:c r="A87" s="1" t="n">
        <x:v>0.4</x:v>
      </x:c>
      <x:c r="B87" s="1" t="n">
        <x:v>0.0012048636126446841</x:v>
      </x:c>
      <x:c r="C87" s="1" t="n">
        <x:v>0.0063817260043592975</x:v>
      </x:c>
      <x:c r="D87" s="1" t="n">
        <x:v>0.01831589971188401</x:v>
      </x:c>
      <x:c r="E87" s="1" t="n">
        <x:v>0.017402793464641134</x:v>
      </x:c>
      <x:c r="F87" s="1" t="n">
        <x:v>0.0007869917259987039</x:v>
      </x:c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 ht="15" hidden="0" customHeight="1">
      <x:c r="A88" s="1" t="n">
        <x:v>0.4100004</x:v>
      </x:c>
      <x:c r="B88" s="1" t="n">
        <x:v>0.0013476772335352062</x:v>
      </x:c>
      <x:c r="C88" s="1" t="n">
        <x:v>0.006926787121064973</x:v>
      </x:c>
      <x:c r="D88" s="1" t="n">
        <x:v>0.01930509366129481</x:v>
      </x:c>
      <x:c r="E88" s="1" t="n">
        <x:v>0.01824301838731792</x:v>
      </x:c>
      <x:c r="F88" s="1" t="n">
        <x:v>0.0008919641017354549</x:v>
      </x:c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 ht="15" hidden="0" customHeight="1">
      <x:c r="A89" s="1" t="n">
        <x:v>0.4200002</x:v>
      </x:c>
      <x:c r="B89" s="1" t="n">
        <x:v>0.0014875822094213113</x:v>
      </x:c>
      <x:c r="C89" s="1" t="n">
        <x:v>0.007500390024231795</x:v>
      </x:c>
      <x:c r="D89" s="1" t="n">
        <x:v>0.020198582438259685</x:v>
      </x:c>
      <x:c r="E89" s="1" t="n">
        <x:v>0.019195203507295085</x:v>
      </x:c>
      <x:c r="F89" s="1" t="n">
        <x:v>0.0010086627307370956</x:v>
      </x:c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 ht="15" hidden="0" customHeight="1">
      <x:c r="A90" s="1" t="n">
        <x:v>0.4299999</x:v>
      </x:c>
      <x:c r="B90" s="1" t="n">
        <x:v>0.0016379022847833498</x:v>
      </x:c>
      <x:c r="C90" s="1" t="n">
        <x:v>0.008056183135588982</x:v>
      </x:c>
      <x:c r="D90" s="1" t="n">
        <x:v>0.021145872659542642</x:v>
      </x:c>
      <x:c r="E90" s="1" t="n">
        <x:v>0.020015537598861897</x:v>
      </x:c>
      <x:c r="F90" s="1" t="n">
        <x:v>0.001136803822056211</x:v>
      </x:c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 ht="15" hidden="0" customHeight="1">
      <x:c r="A91" s="1" t="n">
        <x:v>0.4400004</x:v>
      </x:c>
      <x:c r="B91" s="1" t="n">
        <x:v>0.0018035040641034207</x:v>
      </x:c>
      <x:c r="C91" s="1" t="n">
        <x:v>0.008707692737076939</x:v>
      </x:c>
      <x:c r="D91" s="1" t="n">
        <x:v>0.022128728705441875</x:v>
      </x:c>
      <x:c r="E91" s="1" t="n">
        <x:v>0.020916297988337815</x:v>
      </x:c>
      <x:c r="F91" s="1" t="n">
        <x:v>0.0012675349655514383</x:v>
      </x:c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 ht="15" hidden="0" customHeight="1">
      <x:c r="A92" s="1" t="n">
        <x:v>0.4499995</x:v>
      </x:c>
      <x:c r="B92" s="1" t="n">
        <x:v>0.0019828271215839213</x:v>
      </x:c>
      <x:c r="C92" s="1" t="n">
        <x:v>0.009312274973077773</x:v>
      </x:c>
      <x:c r="D92" s="1" t="n">
        <x:v>0.02310345016536085</x:v>
      </x:c>
      <x:c r="E92" s="1" t="n">
        <x:v>0.021787476779057714</x:v>
      </x:c>
      <x:c r="F92" s="1" t="n">
        <x:v>0.0014180973808401581</x:v>
      </x:c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 ht="15" hidden="0" customHeight="1">
      <x:c r="A93" s="1" t="n">
        <x:v>0.4600005</x:v>
      </x:c>
      <x:c r="B93" s="1" t="n">
        <x:v>0.0021927574430092495</x:v>
      </x:c>
      <x:c r="C93" s="1" t="n">
        <x:v>0.0099991622426715</x:v>
      </x:c>
      <x:c r="D93" s="1" t="n">
        <x:v>0.02407537049828141</x:v>
      </x:c>
      <x:c r="E93" s="1" t="n">
        <x:v>0.022666422331000507</x:v>
      </x:c>
      <x:c r="F93" s="1" t="n">
        <x:v>0.0015785524429782886</x:v>
      </x:c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 ht="15" hidden="0" customHeight="1">
      <x:c r="A94" s="1" t="n">
        <x:v>0.469999</x:v>
      </x:c>
      <x:c r="B94" s="1" t="n">
        <x:v>0.002397512753040532</x:v>
      </x:c>
      <x:c r="C94" s="1" t="n">
        <x:v>0.0106200306271601</x:v>
      </x:c>
      <x:c r="D94" s="1" t="n">
        <x:v>0.02495768306146472</x:v>
      </x:c>
      <x:c r="E94" s="1" t="n">
        <x:v>0.02356936137480853</x:v>
      </x:c>
      <x:c r="F94" s="1" t="n">
        <x:v>0.00176215924417152</x:v>
      </x:c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 ht="15" hidden="0" customHeight="1">
      <x:c r="A95" s="1" t="n">
        <x:v>0.4799994</x:v>
      </x:c>
      <x:c r="B95" s="1" t="n">
        <x:v>0.002644811240393232</x:v>
      </x:c>
      <x:c r="C95" s="1" t="n">
        <x:v>0.011303004807219671</x:v>
      </x:c>
      <x:c r="D95" s="1" t="n">
        <x:v>0.025996646529968616</x:v>
      </x:c>
      <x:c r="E95" s="1" t="n">
        <x:v>0.024441841699285267</x:v>
      </x:c>
      <x:c r="F95" s="1" t="n">
        <x:v>0.001958986515970918</x:v>
      </x:c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 ht="15" hidden="0" customHeight="1">
      <x:c r="A96" s="1" t="n">
        <x:v>0.4899998</x:v>
      </x:c>
      <x:c r="B96" s="1" t="n">
        <x:v>0.002869727591260093</x:v>
      </x:c>
      <x:c r="C96" s="1" t="n">
        <x:v>0.011964582904085273</x:v>
      </x:c>
      <x:c r="D96" s="1" t="n">
        <x:v>0.026928148580896857</x:v>
      </x:c>
      <x:c r="E96" s="1" t="n">
        <x:v>0.025375324345060877</x:v>
      </x:c>
      <x:c r="F96" s="1" t="n">
        <x:v>0.0021589841542367073</x:v>
      </x:c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 ht="15" hidden="0" customHeight="1">
      <x:c r="A97" s="1" t="n">
        <x:v>0.5000002</x:v>
      </x:c>
      <x:c r="B97" s="1" t="n">
        <x:v>0.0031371107250756872</x:v>
      </x:c>
      <x:c r="C97" s="1" t="n">
        <x:v>0.012652913178496365</x:v>
      </x:c>
      <x:c r="D97" s="1" t="n">
        <x:v>0.027957110045421556</x:v>
      </x:c>
      <x:c r="E97" s="1" t="n">
        <x:v>0.02626289963169576</x:v>
      </x:c>
      <x:c r="F97" s="1" t="n">
        <x:v>0.0023902836793545075</x:v>
      </x:c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 ht="15" hidden="0" customHeight="1">
      <x:c r="A98" s="1" t="n">
        <x:v>0.51</x:v>
      </x:c>
      <x:c r="B98" s="1" t="n">
        <x:v>0.0034171215657538448</x:v>
      </x:c>
      <x:c r="C98" s="1" t="n">
        <x:v>0.01342887487192916</x:v>
      </x:c>
      <x:c r="D98" s="1" t="n">
        <x:v>0.028902292347902675</x:v>
      </x:c>
      <x:c r="E98" s="1" t="n">
        <x:v>0.0272054788666632</x:v>
      </x:c>
      <x:c r="F98" s="1" t="n">
        <x:v>0.0026183831290832065</x:v>
      </x:c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 ht="15" hidden="0" customHeight="1">
      <x:c r="A99" s="1" t="n">
        <x:v>0.5200004</x:v>
      </x:c>
      <x:c r="B99" s="1" t="n">
        <x:v>0.0036961548414037658</x:v>
      </x:c>
      <x:c r="C99" s="1" t="n">
        <x:v>0.014136701273191356</x:v>
      </x:c>
      <x:c r="D99" s="1" t="n">
        <x:v>0.02992730676983869</x:v>
      </x:c>
      <x:c r="E99" s="1" t="n">
        <x:v>0.02806286422898181</x:v>
      </x:c>
      <x:c r="F99" s="1" t="n">
        <x:v>0.0028902409925432426</x:v>
      </x:c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 ht="15" hidden="0" customHeight="1">
      <x:c r="A100" s="1" t="n">
        <x:v>0.5300009</x:v>
      </x:c>
      <x:c r="B100" s="1" t="n">
        <x:v>0.004024380434219833</x:v>
      </x:c>
      <x:c r="C100" s="1" t="n">
        <x:v>0.0148787155709403</x:v>
      </x:c>
      <x:c r="D100" s="1" t="n">
        <x:v>0.030856021840874572</x:v>
      </x:c>
      <x:c r="E100" s="1" t="n">
        <x:v>0.029044984625366303</x:v>
      </x:c>
      <x:c r="F100" s="1" t="n">
        <x:v>0.0031270734508382194</x:v>
      </x:c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  <x:row r="101" ht="15" hidden="0" customHeight="1">
      <x:c r="A101" s="1" t="n">
        <x:v>0.5399999</x:v>
      </x:c>
      <x:c r="B101" s="1" t="n">
        <x:v>0.004355705657972027</x:v>
      </x:c>
      <x:c r="C101" s="1" t="n">
        <x:v>0.015657881583894005</x:v>
      </x:c>
      <x:c r="D101" s="1" t="n">
        <x:v>0.03186868583922666</x:v>
      </x:c>
      <x:c r="E101" s="1" t="n">
        <x:v>0.0299164039168891</x:v>
      </x:c>
      <x:c r="F101" s="1" t="n">
        <x:v>0.0034437564198259597</x:v>
      </x:c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</x:row>
    <x:row r="102" ht="15" hidden="0" customHeight="1">
      <x:c r="A102" s="1" t="n">
        <x:v>0.549999</x:v>
      </x:c>
      <x:c r="B102" s="1" t="n">
        <x:v>0.004702932228927359</x:v>
      </x:c>
      <x:c r="C102" s="1" t="n">
        <x:v>0.016436637330772188</x:v>
      </x:c>
      <x:c r="D102" s="1" t="n">
        <x:v>0.032819852367568035</x:v>
      </x:c>
      <x:c r="E102" s="1" t="n">
        <x:v>0.030845798049015508</x:v>
      </x:c>
      <x:c r="F102" s="1" t="n">
        <x:v>0.003740018041226753</x:v>
      </x:c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</x:row>
    <x:row r="103" ht="15" hidden="0" customHeight="1">
      <x:c r="A103" s="1" t="n">
        <x:v>0.5599988</x:v>
      </x:c>
      <x:c r="B103" s="1" t="n">
        <x:v>0.005080354383041387</x:v>
      </x:c>
      <x:c r="C103" s="1" t="n">
        <x:v>0.017222650543055364</x:v>
      </x:c>
      <x:c r="D103" s="1" t="n">
        <x:v>0.03386594597752244</x:v>
      </x:c>
      <x:c r="E103" s="1" t="n">
        <x:v>0.0317320859489996</x:v>
      </x:c>
      <x:c r="F103" s="1" t="n">
        <x:v>0.004068020109767189</x:v>
      </x:c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</x:row>
    <x:row r="104" ht="15" hidden="0" customHeight="1">
      <x:c r="A104" s="1" t="n">
        <x:v>0.5699999</x:v>
      </x:c>
      <x:c r="B104" s="1" t="n">
        <x:v>0.0053929290324314485</x:v>
      </x:c>
      <x:c r="C104" s="1" t="n">
        <x:v>0.018019486291468788</x:v>
      </x:c>
      <x:c r="D104" s="1" t="n">
        <x:v>0.03488745191715741</x:v>
      </x:c>
      <x:c r="E104" s="1" t="n">
        <x:v>0.032681950943584136</x:v>
      </x:c>
      <x:c r="F104" s="1" t="n">
        <x:v>0.004374640242219705</x:v>
      </x:c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</x:row>
    <x:row r="105" ht="15" hidden="0" customHeight="1">
      <x:c r="A105" s="1" t="n">
        <x:v>0.5799983</x:v>
      </x:c>
      <x:c r="B105" s="1" t="n">
        <x:v>0.005793518487417236</x:v>
      </x:c>
      <x:c r="C105" s="1" t="n">
        <x:v>0.018826550397558248</x:v>
      </x:c>
      <x:c r="D105" s="1" t="n">
        <x:v>0.03586138113913744</x:v>
      </x:c>
      <x:c r="E105" s="1" t="n">
        <x:v>0.03360902495031791</x:v>
      </x:c>
      <x:c r="F105" s="1" t="n">
        <x:v>0.004776856614401543</x:v>
      </x:c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</x:row>
    <x:row r="106" ht="15" hidden="0" customHeight="1">
      <x:c r="A106" s="1" t="n">
        <x:v>0.5900001</x:v>
      </x:c>
      <x:c r="B106" s="1" t="n">
        <x:v>0.006206200888656798</x:v>
      </x:c>
      <x:c r="C106" s="1" t="n">
        <x:v>0.01961233725614458</x:v>
      </x:c>
      <x:c r="D106" s="1" t="n">
        <x:v>0.0369115208214229</x:v>
      </x:c>
      <x:c r="E106" s="1" t="n">
        <x:v>0.034491521425879905</x:v>
      </x:c>
      <x:c r="F106" s="1" t="n">
        <x:v>0.005101459133357536</x:v>
      </x:c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</x:row>
    <x:row r="107" ht="15" hidden="0" customHeight="1">
      <x:c r="A107" s="1" t="n">
        <x:v>0.6000005</x:v>
      </x:c>
      <x:c r="B107" s="1" t="n">
        <x:v>0.006626331741233059</x:v>
      </x:c>
      <x:c r="C107" s="1" t="n">
        <x:v>0.02045826346256057</x:v>
      </x:c>
      <x:c r="D107" s="1" t="n">
        <x:v>0.03783047438928247</x:v>
      </x:c>
      <x:c r="E107" s="1" t="n">
        <x:v>0.03547044457629651</x:v>
      </x:c>
      <x:c r="F107" s="1" t="n">
        <x:v>0.005512251481228467</x:v>
      </x:c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</x:row>
    <x:row r="108" ht="15" hidden="0" customHeight="1">
      <x:c r="A108" s="1" t="n">
        <x:v>0.6099996</x:v>
      </x:c>
      <x:c r="B108" s="1" t="n">
        <x:v>0.007017361996659095</x:v>
      </x:c>
      <x:c r="C108" s="1" t="n">
        <x:v>0.0212651578033774</x:v>
      </x:c>
      <x:c r="D108" s="1" t="n">
        <x:v>0.03897227317168281</x:v>
      </x:c>
      <x:c r="E108" s="1" t="n">
        <x:v>0.03634806030027035</x:v>
      </x:c>
      <x:c r="F108" s="1" t="n">
        <x:v>0.0058951811037287775</x:v>
      </x:c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</x:row>
    <x:row r="109" ht="15" hidden="0" customHeight="1">
      <x:c r="A109" s="1" t="n">
        <x:v>0.6199993</x:v>
      </x:c>
      <x:c r="B109" s="1" t="n">
        <x:v>0.007468268463742211</x:v>
      </x:c>
      <x:c r="C109" s="1" t="n">
        <x:v>0.02209577684104446</x:v>
      </x:c>
      <x:c r="D109" s="1" t="n">
        <x:v>0.03989112770980002</x:v>
      </x:c>
      <x:c r="E109" s="1" t="n">
        <x:v>0.03732890745711011</x:v>
      </x:c>
      <x:c r="F109" s="1" t="n">
        <x:v>0.0063352268374953025</x:v>
      </x:c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</x:row>
    <x:row r="110" ht="15" hidden="0" customHeight="1">
      <x:c r="A110" s="1" t="n">
        <x:v>0.6299991</x:v>
      </x:c>
      <x:c r="B110" s="1" t="n">
        <x:v>0.00795708917504633</x:v>
      </x:c>
      <x:c r="C110" s="1" t="n">
        <x:v>0.02288180420043369</x:v>
      </x:c>
      <x:c r="D110" s="1" t="n">
        <x:v>0.04096533161948097</x:v>
      </x:c>
      <x:c r="E110" s="1" t="n">
        <x:v>0.03821733157010815</x:v>
      </x:c>
      <x:c r="F110" s="1" t="n">
        <x:v>0.0067477960618864425</x:v>
      </x:c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</x:row>
    <x:row r="111" ht="15" hidden="0" customHeight="1">
      <x:c r="A111" s="1" t="n">
        <x:v>0.6400009</x:v>
      </x:c>
      <x:c r="B111" s="1" t="n">
        <x:v>0.008521768083715164</x:v>
      </x:c>
      <x:c r="C111" s="1" t="n">
        <x:v>0.023816644968390352</x:v>
      </x:c>
      <x:c r="D111" s="1" t="n">
        <x:v>0.04181285644888091</x:v>
      </x:c>
      <x:c r="E111" s="1" t="n">
        <x:v>0.039198461669068964</x:v>
      </x:c>
      <x:c r="F111" s="1" t="n">
        <x:v>0.0071865388471855215</x:v>
      </x:c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</x:row>
    <x:row r="112" ht="15" hidden="0" customHeight="1">
      <x:c r="A112" s="1" t="n">
        <x:v>0.6500006</x:v>
      </x:c>
      <x:c r="B112" s="1" t="n">
        <x:v>0.008995997469836616</x:v>
      </x:c>
      <x:c r="C112" s="1" t="n">
        <x:v>0.024548573794234387</x:v>
      </x:c>
      <x:c r="D112" s="1" t="n">
        <x:v>0.042990320085639876</x:v>
      </x:c>
      <x:c r="E112" s="1" t="n">
        <x:v>0.04011390675462749</x:v>
      </x:c>
      <x:c r="F112" s="1" t="n">
        <x:v>0.007680657649706344</x:v>
      </x:c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</x:row>
    <x:row r="113" ht="15" hidden="0" customHeight="1">
      <x:c r="A113" s="1" t="n">
        <x:v>0.6599997</x:v>
      </x:c>
      <x:c r="B113" s="1" t="n">
        <x:v>0.009490298770025518</x:v>
      </x:c>
      <x:c r="C113" s="1" t="n">
        <x:v>0.02542657149007165</x:v>
      </x:c>
      <x:c r="D113" s="1" t="n">
        <x:v>0.04391914833352418</x:v>
      </x:c>
      <x:c r="E113" s="1" t="n">
        <x:v>0.041164598174049</x:v>
      </x:c>
      <x:c r="F113" s="1" t="n">
        <x:v>0.008137242765158977</x:v>
      </x:c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</x:row>
    <x:row r="114" ht="15" hidden="0" customHeight="1">
      <x:c r="A114" s="1" t="n">
        <x:v>0.6699995</x:v>
      </x:c>
      <x:c r="B114" s="1" t="n">
        <x:v>0.010006257874870363</x:v>
      </x:c>
      <x:c r="C114" s="1" t="n">
        <x:v>0.026290563550916822</x:v>
      </x:c>
      <x:c r="D114" s="1" t="n">
        <x:v>0.0449937200679625</x:v>
      </x:c>
      <x:c r="E114" s="1" t="n">
        <x:v>0.04204221389802284</x:v>
      </x:c>
      <x:c r="F114" s="1" t="n">
        <x:v>0.008638047490000264</x:v>
      </x:c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</x:row>
    <x:row r="115" ht="15" hidden="0" customHeight="1">
      <x:c r="A115" s="1" t="n">
        <x:v>0.6800006</x:v>
      </x:c>
      <x:c r="B115" s="1" t="n">
        <x:v>0.010509692546726832</x:v>
      </x:c>
      <x:c r="C115" s="1" t="n">
        <x:v>0.02713194853628992</x:v>
      </x:c>
      <x:c r="D115" s="1" t="n">
        <x:v>0.045945565657394404</x:v>
      </x:c>
      <x:c r="E115" s="1" t="n">
        <x:v>0.043030007283934434</x:v>
      </x:c>
      <x:c r="F115" s="1" t="n">
        <x:v>0.009084193455896675</x:v>
      </x:c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</x:row>
    <x:row r="116" ht="15" hidden="0" customHeight="1">
      <x:c r="A116" s="1" t="n">
        <x:v>0.6899997</x:v>
      </x:c>
      <x:c r="B116" s="1" t="n">
        <x:v>0.011040405668473946</x:v>
      </x:c>
      <x:c r="C116" s="1" t="n">
        <x:v>0.027984976589944328</x:v>
      </x:c>
      <x:c r="D116" s="1" t="n">
        <x:v>0.04703891060156453</x:v>
      </x:c>
      <x:c r="E116" s="1" t="n">
        <x:v>0.043900931426745386</x:v>
      </x:c>
      <x:c r="F116" s="1" t="n">
        <x:v>0.009657236133663814</x:v>
      </x:c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</x:row>
    <x:row r="117" ht="15" hidden="0" customHeight="1">
      <x:c r="A117" s="1" t="n">
        <x:v>0.7000034</x:v>
      </x:c>
      <x:c r="B117" s="1" t="n">
        <x:v>0.011655104500013004</x:v>
      </x:c>
      <x:c r="C117" s="1" t="n">
        <x:v>0.02882422536230348</x:v>
      </x:c>
      <x:c r="D117" s="1" t="n">
        <x:v>0.04804356733789084</x:v>
      </x:c>
      <x:c r="E117" s="1" t="n">
        <x:v>0.04489473733272934</x:v>
      </x:c>
      <x:c r="F117" s="1" t="n">
        <x:v>0.010120368529797598</x:v>
      </x:c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</x:row>
    <x:row r="118" ht="15" hidden="0" customHeight="1">
      <x:c r="A118" s="1" t="n">
        <x:v>0.7100012</x:v>
      </x:c>
      <x:c r="B118" s="1" t="n">
        <x:v>0.012145238062758804</x:v>
      </x:c>
      <x:c r="C118" s="1" t="n">
        <x:v>0.029731252919760708</x:v>
      </x:c>
      <x:c r="D118" s="1" t="n">
        <x:v>0.04915578452153517</x:v>
      </x:c>
      <x:c r="E118" s="1" t="n">
        <x:v>0.04576915581073529</x:v>
      </x:c>
      <x:c r="F118" s="1" t="n">
        <x:v>0.010705434832998854</x:v>
      </x:c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</x:row>
    <x:row r="119" ht="15" hidden="0" customHeight="1">
      <x:c r="A119" s="1" t="n">
        <x:v>0.7200009</x:v>
      </x:c>
      <x:c r="B119" s="1" t="n">
        <x:v>0.012655845317383948</x:v>
      </x:c>
      <x:c r="C119" s="1" t="n">
        <x:v>0.030554812551507514</x:v>
      </x:c>
      <x:c r="D119" s="1" t="n">
        <x:v>0.050222575347644544</x:v>
      </x:c>
      <x:c r="E119" s="1" t="n">
        <x:v>0.04678123977773922</x:v>
      </x:c>
      <x:c r="F119" s="1" t="n">
        <x:v>0.011223746601580249</x:v>
      </x:c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</x:row>
    <x:row r="120" ht="15" hidden="0" customHeight="1">
      <x:c r="A120" s="1" t="n">
        <x:v>0.73</x:v>
      </x:c>
      <x:c r="B120" s="1" t="n">
        <x:v>0.013246086631979247</x:v>
      </x:c>
      <x:c r="C120" s="1" t="n">
        <x:v>0.03146557494496263</x:v>
      </x:c>
      <x:c r="D120" s="1" t="n">
        <x:v>0.05122618519812296</x:v>
      </x:c>
      <x:c r="E120" s="1" t="n">
        <x:v>0.04768064204503409</x:v>
      </x:c>
      <x:c r="F120" s="1" t="n">
        <x:v>0.01181409826360276</x:v>
      </x:c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</x:row>
    <x:row r="121" ht="15" hidden="0" customHeight="1">
      <x:c r="A121" s="1" t="n">
        <x:v>0.7399991</x:v>
      </x:c>
      <x:c r="B121" s="1" t="n">
        <x:v>0.013843421305549327</x:v>
      </x:c>
      <x:c r="C121" s="1" t="n">
        <x:v>0.03229209132187443</x:v>
      </x:c>
      <x:c r="D121" s="1" t="n">
        <x:v>0.052320195056277566</x:v>
      </x:c>
      <x:c r="E121" s="1" t="n">
        <x:v>0.04869491881347617</x:v>
      </x:c>
      <x:c r="F121" s="1" t="n">
        <x:v>0.012313962205891546</x:v>
      </x:c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</x:row>
    <x:row r="122" ht="15" hidden="0" customHeight="1">
      <x:c r="A122" s="1" t="n">
        <x:v>0.7500015</x:v>
      </x:c>
      <x:c r="B122" s="1" t="n">
        <x:v>0.014406841121779479</x:v>
      </x:c>
      <x:c r="C122" s="1" t="n">
        <x:v>0.03322069321606189</x:v>
      </x:c>
      <x:c r="D122" s="1" t="n">
        <x:v>0.05341027201894956</x:v>
      </x:c>
      <x:c r="E122" s="1" t="n">
        <x:v>0.04957728796508369</x:v>
      </x:c>
      <x:c r="F122" s="1" t="n">
        <x:v>0.012967189266054292</x:v>
      </x:c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</x:row>
    <x:row r="123" ht="15" hidden="0" customHeight="1">
      <x:c r="A123" s="1" t="n">
        <x:v>0.7600013</x:v>
      </x:c>
      <x:c r="B123" s="1" t="n">
        <x:v>0.014943907708854823</x:v>
      </x:c>
      <x:c r="C123" s="1" t="n">
        <x:v>0.03404101316052265</x:v>
      </x:c>
      <x:c r="D123" s="1" t="n">
        <x:v>0.054660989370848956</x:v>
      </x:c>
      <x:c r="E123" s="1" t="n">
        <x:v>0.05058362820703026</x:v>
      </x:c>
      <x:c r="F123" s="1" t="n">
        <x:v>0.013492462825524177</x:v>
      </x:c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</x:row>
    <x:row r="124" ht="15" hidden="0" customHeight="1">
      <x:c r="A124" s="1" t="n">
        <x:v>0.7700011</x:v>
      </x:c>
      <x:c r="B124" s="1" t="n">
        <x:v>0.015511291544200917</x:v>
      </x:c>
      <x:c r="C124" s="1" t="n">
        <x:v>0.03505104579714895</x:v>
      </x:c>
      <x:c r="D124" s="1" t="n">
        <x:v>0.05550789172758258</x:v>
      </x:c>
      <x:c r="E124" s="1" t="n">
        <x:v>0.05160845871658759</x:v>
      </x:c>
      <x:c r="F124" s="1" t="n">
        <x:v>0.01412028026850582</x:v>
      </x:c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</x:row>
    <x:row r="125" ht="15" hidden="0" customHeight="1">
      <x:c r="A125" s="1" t="n">
        <x:v>0.7799975</x:v>
      </x:c>
      <x:c r="B125" s="1" t="n">
        <x:v>0.016127199953307473</x:v>
      </x:c>
      <x:c r="C125" s="1" t="n">
        <x:v>0.03587122427054919</x:v>
      </x:c>
      <x:c r="D125" s="1" t="n">
        <x:v>0.05672925383442281</x:v>
      </x:c>
      <x:c r="E125" s="1" t="n">
        <x:v>0.05255149065894872</x:v>
      </x:c>
      <x:c r="F125" s="1" t="n">
        <x:v>0.014720957903236135</x:v>
      </x:c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</x:row>
    <x:row r="126" ht="15" hidden="0" customHeight="1">
      <x:c r="A126" s="1" t="n">
        <x:v>0.7899992</x:v>
      </x:c>
      <x:c r="B126" s="1" t="n">
        <x:v>0.01679395306156712</x:v>
      </x:c>
      <x:c r="C126" s="1" t="n">
        <x:v>0.036860786044717354</x:v>
      </x:c>
      <x:c r="D126" s="1" t="n">
        <x:v>0.05765034361529633</x:v>
      </x:c>
      <x:c r="E126" s="1" t="n">
        <x:v>0.05364110076712096</x:v>
      </x:c>
      <x:c r="F126" s="1" t="str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</x:row>
    <x:row r="127" ht="15" hidden="0" customHeight="1">
      <x:c r="A127" s="1" t="n">
        <x:v>0.7999997</x:v>
      </x:c>
      <x:c r="B127" s="1" t="n">
        <x:v>0.017383477117885553</x:v>
      </x:c>
      <x:c r="C127" s="1" t="n">
        <x:v>0.037700657289742825</x:v>
      </x:c>
      <x:c r="D127" s="1" t="str"/>
      <x:c r="E127" s="1" t="n">
        <x:v>0.054533344598753204</x:v>
      </x:c>
      <x:c r="F127" s="1" t="str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</x:row>
    <x:row r="128" ht="15" hidden="0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</x:row>
    <x:row r="129" ht="15" hidden="0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</x:row>
    <x:row r="130" ht="15" hidden="0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</x:row>
    <x:row r="131" ht="15" hidden="0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</x:row>
    <x:row r="132" ht="15" hidden="0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</x:row>
    <x:row r="133" ht="15" hidden="0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</x:row>
    <x:row r="134" ht="15" hidden="0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</x:row>
    <x:row r="135" ht="15" hidden="0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</x:row>
    <x:row r="136" ht="15" hidden="0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</x:row>
    <x:row r="137" ht="15" hidden="0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</x:row>
    <x:row r="138" ht="15" hidden="0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</x:row>
    <x:row r="139" ht="15" hidden="0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</x:row>
    <x:row r="140" ht="15" hidden="0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</x:row>
    <x:row r="141" ht="15" hidden="0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</x:row>
    <x:row r="142" ht="15" hidden="0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</x:row>
    <x:row r="143" ht="15" hidden="0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</x:row>
    <x:row r="144" ht="15" hidden="0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</x:row>
    <x:row r="145" ht="15" hidden="0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</x:row>
    <x:row r="146" ht="15" hidden="0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</x:row>
    <x:row r="147" ht="15" hidden="0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</x:row>
    <x:row r="148" ht="15" hidden="0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</x:row>
    <x:row r="149" ht="15" hidden="0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</x:row>
    <x:row r="150" ht="15" hidden="0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</x:row>
    <x:row r="151" ht="15" hidden="0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</x:row>
    <x:row r="152" ht="15" hidden="0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</x:row>
    <x:row r="153" ht="15" hidden="0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</x:row>
    <x:row r="154" ht="15" hidden="0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</x:row>
    <x:row r="155" ht="15" hidden="0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</x:row>
    <x:row r="156" ht="15" hidden="0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</x:row>
    <x:row r="157" ht="15" hidden="0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</x:row>
    <x:row r="158" ht="15" hidden="0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</x:row>
    <x:row r="159" ht="15" hidden="0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</x:row>
    <x:row r="160" ht="15" hidden="0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</x:row>
    <x:row r="161" ht="15" hidden="0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</x:row>
    <x:row r="162" ht="15" hidden="0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</x:row>
    <x:row r="163" ht="15" hidden="0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</x:row>
    <x:row r="164" ht="15" hidden="0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</x:row>
    <x:row r="165" ht="15" hidden="0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</x:row>
    <x:row r="166" ht="15" hidden="0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</x:row>
    <x:row r="167" ht="15" hidden="0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</x:row>
    <x:row r="168" ht="15" hidden="0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</x:row>
    <x:row r="169" ht="15" hidden="0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</x:row>
    <x:row r="170" ht="15" hidden="0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</x:row>
    <x:row r="171" ht="15" hidden="0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</x:row>
    <x:row r="172" ht="15" hidden="0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</x:row>
    <x:row r="173" ht="15" hidden="0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</x:row>
    <x:row r="174" ht="15" hidden="0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</x:row>
    <x:row r="175" ht="15" hidden="0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</x:row>
    <x:row r="176" ht="15" hidden="0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</x:row>
    <x:row r="177" ht="15" hidden="0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</x:row>
    <x:row r="178" ht="15" hidden="0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</x:row>
    <x:row r="179" ht="15" hidden="0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</x:row>
    <x:row r="180" ht="15" hidden="0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</x:row>
    <x:row r="181" ht="15" hidden="0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</x:row>
    <x:row r="182" ht="15" hidden="0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</x:row>
    <x:row r="183" ht="15" hidden="0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</x:row>
    <x:row r="184" ht="15" hidden="0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</x:row>
    <x:row r="185" ht="15" hidden="0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</x:row>
    <x:row r="186" ht="15" hidden="0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</x:row>
    <x:row r="187" ht="15" hidden="0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</x:row>
    <x:row r="188" ht="15" hidden="0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</x:row>
    <x:row r="189" ht="15" hidden="0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</x:row>
    <x:row r="190" ht="15" hidden="0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</x:row>
    <x:row r="191" ht="15" hidden="0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</x:row>
    <x:row r="192" ht="15" hidden="0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</x:row>
    <x:row r="193" ht="15" hidden="0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</x:row>
    <x:row r="194" ht="15" hidden="0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</x:row>
    <x:row r="195" ht="15" hidden="0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</x:row>
    <x:row r="196" ht="15" hidden="0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</x:row>
    <x:row r="197" ht="15" hidden="0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</x:row>
    <x:row r="198" ht="15" hidden="0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</x:row>
    <x:row r="199" ht="15" hidden="0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</x:row>
    <x:row r="200" ht="15" hidden="0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</x:row>
    <x:row r="201" ht="15" hidden="0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</x:row>
    <x:row r="202" ht="15" hidden="0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</x:row>
    <x:row r="203" ht="15" hidden="0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</x:row>
    <x:row r="204" ht="15" hidden="0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</x:row>
    <x:row r="205" ht="15" hidden="0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</x:row>
    <x:row r="206" ht="15" hidden="0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</x:row>
    <x:row r="207" ht="15" hidden="0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</x:row>
    <x:row r="208" ht="15" hidden="0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</x:row>
    <x:row r="209" ht="15" hidden="0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</x:row>
    <x:row r="210" ht="15" hidden="0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</x:row>
    <x:row r="211" ht="15" hidden="0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</x:row>
    <x:row r="212" ht="15" hidden="0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</x:row>
    <x:row r="213" ht="15" hidden="0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</x:row>
    <x:row r="214" ht="15" hidden="0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</x:row>
    <x:row r="215" ht="15" hidden="0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</x:row>
    <x:row r="216" ht="15" hidden="0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</x:row>
    <x:row r="217" ht="15" hidden="0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</x:row>
    <x:row r="218" ht="15" hidden="0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</x:row>
    <x:row r="219" ht="15" hidden="0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</x:row>
    <x:row r="220" ht="15" hidden="0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</x:row>
    <x:row r="221" ht="15" hidden="0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</x:row>
    <x:row r="222" ht="15" hidden="0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</x:row>
    <x:row r="223" ht="15" hidden="0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</x:row>
    <x:row r="224" ht="15" hidden="0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</x:row>
    <x:row r="225" ht="15" hidden="0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</x:row>
    <x:row r="226" ht="15" hidden="0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</x:row>
    <x:row r="227" ht="15" hidden="0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</x:row>
    <x:row r="228" ht="15" hidden="0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</x:row>
    <x:row r="229" ht="15" hidden="0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</x:row>
    <x:row r="230" ht="15" hidden="0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</x:row>
    <x:row r="231" ht="15" hidden="0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</x:row>
    <x:row r="232" ht="15" hidden="0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</x:row>
    <x:row r="233" ht="15" hidden="0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</x:row>
    <x:row r="234" ht="15" hidden="0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</x:row>
    <x:row r="235" ht="15" hidden="0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</x:row>
    <x:row r="236" ht="15" hidden="0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</x:row>
    <x:row r="237" ht="15" hidden="0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</x:row>
    <x:row r="238" ht="15" hidden="0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</x:row>
    <x:row r="239" ht="15" hidden="0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</x:row>
    <x:row r="240" ht="15" hidden="0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</x:row>
  </x:sheetData>
  <x:pageMargins left="0.7" right="0.7" top="0.75" bottom="0.75" header="0.3" footer="0.3"/>
  <x:drawing xmlns:r="http://schemas.openxmlformats.org/officeDocument/2006/relationships" r:id="Re3e945e51fac4a58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.75" hidden="0" customWidth="1"/>
    <x:col min="2" max="2" width="10.880000114440918" hidden="0" customWidth="1"/>
    <x:col min="3" max="3" width="10.630000114440918" hidden="0" customWidth="1"/>
    <x:col min="4" max="4" width="10.630000114440918" hidden="0" customWidth="1"/>
    <x:col min="5" max="5" width="10.630000114440918" hidden="0" customWidth="1"/>
    <x:col min="6" max="6" width="10.630000114440918" hidden="0" customWidth="1"/>
  </x:cols>
  <x:sheetData>
    <x:row r="1" ht="15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19.200000762939453" hidden="0" customHeight="1">
      <x:c r="A2" s="2" t="str">
        <x:v>I-V curves: gap label 20 um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15" hidden="0" customHeight="1">
      <x:c r="A3" s="3" t="str">
        <x:v>Rows 1-5 compared in the -0.4 V to +0.8 V display window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15" hidden="0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</x:row>
    <x:row r="5" ht="15" hidden="0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15" hidden="0" customHeight="1">
      <x:c r="A6" s="9" t="str">
        <x:v>Voltage (V)</x:v>
      </x:c>
      <x:c r="B6" s="9" t="str">
        <x:v>Row 1</x:v>
      </x:c>
      <x:c r="C6" s="9" t="str">
        <x:v>Row 2</x:v>
      </x:c>
      <x:c r="D6" s="9" t="str">
        <x:v>Row 3</x:v>
      </x:c>
      <x:c r="E6" s="9" t="str">
        <x:v>Row 4</x:v>
      </x:c>
      <x:c r="F6" s="9" t="str">
        <x:v>Row 5</x:v>
      </x:c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15" hidden="0" customHeight="1">
      <x:c r="A7" s="1" t="n">
        <x:v>-0.4</x:v>
      </x:c>
      <x:c r="B7" s="1" t="n">
        <x:v>-0.0007028249484169454</x:v>
      </x:c>
      <x:c r="C7" s="1" t="n">
        <x:v>-0.000011787842571658856</x:v>
      </x:c>
      <x:c r="D7" s="1" t="n">
        <x:v>-2.522472523952234e-7</x:v>
      </x:c>
      <x:c r="E7" s="1" t="n">
        <x:v>-0.000001754663268871552</x:v>
      </x:c>
      <x:c r="F7" s="1" t="n">
        <x:v>-1.9075760750193878e-7</x:v>
      </x:c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15" hidden="0" customHeight="1">
      <x:c r="A8" s="1" t="n">
        <x:v>-0.3900009</x:v>
      </x:c>
      <x:c r="B8" s="1" t="n">
        <x:v>-0.0006913557480690315</x:v>
      </x:c>
      <x:c r="C8" s="1" t="n">
        <x:v>-0.000011669603888692327</x:v>
      </x:c>
      <x:c r="D8" s="1" t="n">
        <x:v>-1.7972746082259118e-7</x:v>
      </x:c>
      <x:c r="E8" s="1" t="n">
        <x:v>-0.0000016789903985961257</x:v>
      </x:c>
      <x:c r="F8" s="1" t="n">
        <x:v>-2.2701763061220938e-7</x:v>
      </x:c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15" hidden="0" customHeight="1">
      <x:c r="A9" s="1" t="n">
        <x:v>-0.3799999</x:v>
      </x:c>
      <x:c r="B9" s="1" t="n">
        <x:v>-0.0006758111908805415</x:v>
      </x:c>
      <x:c r="C9" s="1" t="n">
        <x:v>-0.00001143470251037353</x:v>
      </x:c>
      <x:c r="D9" s="1" t="n">
        <x:v>-2.4121167499492825e-7</x:v>
      </x:c>
      <x:c r="E9" s="1" t="n">
        <x:v>-0.0000015071497455068523</x:v>
      </x:c>
      <x:c r="F9" s="1" t="n">
        <x:v>-1.92334161000442e-7</x:v>
      </x:c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15" hidden="0" customHeight="1">
      <x:c r="A10" s="1" t="n">
        <x:v>-0.3700001</x:v>
      </x:c>
      <x:c r="B10" s="1" t="n">
        <x:v>-0.0006670426730780714</x:v>
      </x:c>
      <x:c r="C10" s="1" t="n">
        <x:v>-0.000011374795175083136</x:v>
      </x:c>
      <x:c r="D10" s="1" t="n">
        <x:v>-1.5923271804944347e-7</x:v>
      </x:c>
      <x:c r="E10" s="1" t="n">
        <x:v>-0.0000014598545552623619</x:v>
      </x:c>
      <x:c r="F10" s="1" t="n">
        <x:v>-2.2701763061220938e-7</x:v>
      </x:c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15" hidden="0" customHeight="1">
      <x:c r="A11" s="1" t="n">
        <x:v>-0.3600003</x:v>
      </x:c>
      <x:c r="B11" s="1" t="n">
        <x:v>-0.0006555341437753313</x:v>
      </x:c>
      <x:c r="C11" s="1" t="n">
        <x:v>-0.000011202954521993864</x:v>
      </x:c>
      <x:c r="D11" s="1" t="n">
        <x:v>-1.986456783914478e-7</x:v>
      </x:c>
      <x:c r="E11" s="1" t="n">
        <x:v>-0.0000014125593650178719</x:v>
      </x:c>
      <x:c r="F11" s="1" t="n">
        <x:v>-1.6553335985144812e-7</x:v>
      </x:c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15" hidden="0" customHeight="1">
      <x:c r="A12" s="1" t="n">
        <x:v>-0.3500006</x:v>
      </x:c>
      <x:c r="B12" s="1" t="n">
        <x:v>-0.000640837847065756</x:v>
      </x:c>
      <x:c r="C12" s="1" t="n">
        <x:v>-0.000011091021204194983</x:v>
      </x:c>
      <x:c r="D12" s="1" t="n">
        <x:v>-2.5067084036778074e-7</x:v>
      </x:c>
      <x:c r="E12" s="1" t="n">
        <x:v>-0.0000014220184030667698</x:v>
      </x:c>
      <x:c r="F12" s="1" t="n">
        <x:v>-1.6868639611292425e-7</x:v>
      </x:c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15" hidden="0" customHeight="1">
      <x:c r="A13" s="1" t="n">
        <x:v>-0.3400002</x:v>
      </x:c>
      <x:c r="B13" s="1" t="n">
        <x:v>-0.000630415391094675</x:v>
      </x:c>
      <x:c r="C13" s="1" t="n">
        <x:v>-0.000010936522073705003</x:v>
      </x:c>
      <x:c r="D13" s="1" t="n">
        <x:v>-1.4819708406072408e-7</x:v>
      </x:c>
      <x:c r="E13" s="1" t="n">
        <x:v>-0.0000013337333877454389</x:v>
      </x:c>
      <x:c r="F13" s="1" t="n">
        <x:v>-1.1035521820206328e-7</x:v>
      </x:c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15" hidden="0" customHeight="1">
      <x:c r="A14" s="1" t="n">
        <x:v>-0.3299991</x:v>
      </x:c>
      <x:c r="B14" s="1" t="n">
        <x:v>-0.000612480963280717</x:v>
      </x:c>
      <x:c r="C14" s="1" t="n">
        <x:v>-0.00001083562491333777</x:v>
      </x:c>
      <x:c r="D14" s="1" t="n">
        <x:v>-1.4662057300353908e-7</x:v>
      </x:c>
      <x:c r="E14" s="1" t="n">
        <x:v>-0.0000012328362273782037</x:v>
      </x:c>
      <x:c r="F14" s="1" t="n">
        <x:v>-1.7814546245603438e-7</x:v>
      </x:c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15" hidden="0" customHeight="1">
      <x:c r="A15" s="1" t="n">
        <x:v>-0.32</x:v>
      </x:c>
      <x:c r="B15" s="1" t="n">
        <x:v>-0.0005947136127892405</x:v>
      </x:c>
      <x:c r="C15" s="1" t="n">
        <x:v>-0.000010709503462878723</x:v>
      </x:c>
      <x:c r="D15" s="1" t="n">
        <x:v>-1.9076308066420454e-7</x:v>
      </x:c>
      <x:c r="E15" s="1" t="n">
        <x:v>-0.0000012312596738797004</x:v>
      </x:c>
      <x:c r="F15" s="1" t="n">
        <x:v>-1.560742510670198e-7</x:v>
      </x:c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15" hidden="0" customHeight="1">
      <x:c r="A16" s="1" t="n">
        <x:v>-0.3100002</x:v>
      </x:c>
      <x:c r="B16" s="1" t="n">
        <x:v>-0.0005826578734243854</x:v>
      </x:c>
      <x:c r="C16" s="1" t="n">
        <x:v>-0.000010599147547404712</x:v>
      </x:c>
      <x:c r="D16" s="1" t="n">
        <x:v>-1.545031565836763e-7</x:v>
      </x:c>
      <x:c r="E16" s="1" t="n">
        <x:v>-0.0000012028824182619457</x:v>
      </x:c>
      <x:c r="F16" s="1" t="n">
        <x:v>-1.7499249693008853e-7</x:v>
      </x:c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15" hidden="0" customHeight="1">
      <x:c r="A17" s="1" t="n">
        <x:v>-0.2999998</x:v>
      </x:c>
      <x:c r="B17" s="1" t="n">
        <x:v>-0.0005716443513624262</x:v>
      </x:c>
      <x:c r="C17" s="1" t="n">
        <x:v>-0.000010294880078688746</x:v>
      </x:c>
      <x:c r="D17" s="1" t="n">
        <x:v>-1.702683378910568e-7</x:v>
      </x:c>
      <x:c r="E17" s="1" t="n">
        <x:v>-0.0000010736078608058952</x:v>
      </x:c>
      <x:c r="F17" s="1" t="n">
        <x:v>-1.9075760750193878e-7</x:v>
      </x:c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15" hidden="0" customHeight="1">
      <x:c r="A18" s="1" t="n">
        <x:v>-0.29</x:v>
      </x:c>
      <x:c r="B18" s="1" t="n">
        <x:v>-0.0005535490709526501</x:v>
      </x:c>
      <x:c r="C18" s="1" t="n">
        <x:v>-0.00001028857329881049</x:v>
      </x:c>
      <x:c r="D18" s="1" t="n">
        <x:v>-2.475177475178804e-7</x:v>
      </x:c>
      <x:c r="E18" s="1" t="n">
        <x:v>-0.0000010562661967355417</x:v>
      </x:c>
      <x:c r="F18" s="1" t="n">
        <x:v>-1.97063680024891e-7</x:v>
      </x:c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15" hidden="0" customHeight="1">
      <x:c r="A19" s="1" t="n">
        <x:v>-0.2799996</x:v>
      </x:c>
      <x:c r="B19" s="1" t="n">
        <x:v>-0.0005405553784565068</x:v>
      </x:c>
      <x:c r="C19" s="1" t="n">
        <x:v>-0.000010116732645721219</x:v>
      </x:c>
      <x:c r="D19" s="1" t="n">
        <x:v>-2.3963514979063715e-7</x:v>
      </x:c>
      <x:c r="E19" s="1" t="n">
        <x:v>-9.99511544028972e-7</x:v>
      </x:c>
      <x:c r="F19" s="1" t="n">
        <x:v>-1.62380323589972e-7</x:v>
      </x:c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15" hidden="0" customHeight="1">
      <x:c r="A20" s="1" t="n">
        <x:v>-0.2699998</x:v>
      </x:c>
      <x:c r="B20" s="1" t="n">
        <x:v>-0.0005271959832689033</x:v>
      </x:c>
      <x:c r="C20" s="1" t="n">
        <x:v>-0.00000997169368504862</x:v>
      </x:c>
      <x:c r="D20" s="1" t="n">
        <x:v>-2.207169322217805e-7</x:v>
      </x:c>
      <x:c r="E20" s="1" t="n">
        <x:v>-0.0000010073940285793667</x:v>
      </x:c>
      <x:c r="F20" s="1" t="n">
        <x:v>-1.6553335985144812e-7</x:v>
      </x:c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15" hidden="0" customHeight="1">
      <x:c r="A21" s="1" t="n">
        <x:v>-0.2600001</x:v>
      </x:c>
      <x:c r="B21" s="1" t="n">
        <x:v>-0.0005108175956496723</x:v>
      </x:c>
      <x:c r="C21" s="1" t="n">
        <x:v>-0.000009856606977310614</x:v>
      </x:c>
      <x:c r="D21" s="1" t="n">
        <x:v>-2.1598737075601333e-7</x:v>
      </x:c>
      <x:c r="E21" s="1" t="n">
        <x:v>-9.853228454845643e-7</x:v>
      </x:c>
      <x:c r="F21" s="1" t="n">
        <x:v>-1.60803812532787e-7</x:v>
      </x:c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15" hidden="0" customHeight="1">
      <x:c r="A22" s="1" t="n">
        <x:v>-0.250001</x:v>
      </x:c>
      <x:c r="B22" s="1" t="n">
        <x:v>-0.0004916738732103369</x:v>
      </x:c>
      <x:c r="C22" s="1" t="n">
        <x:v>-0.00000979354625208109</x:v>
      </x:c>
      <x:c r="D22" s="1" t="n">
        <x:v>-1.4977360926501518e-7</x:v>
      </x:c>
      <x:c r="E22" s="1" t="n">
        <x:v>-9.033439026861856e-7</x:v>
      </x:c>
      <x:c r="F22" s="1" t="n">
        <x:v>-1.576507762713109e-7</x:v>
      </x:c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15" hidden="0" customHeight="1">
      <x:c r="A23" s="1" t="n">
        <x:v>-0.2400006</x:v>
      </x:c>
      <x:c r="B23" s="1" t="n">
        <x:v>-0.00047955998923960555</x:v>
      </x:c>
      <x:c r="C23" s="1" t="n">
        <x:v>-0.000009621705598991817</x:v>
      </x:c>
      <x:c r="D23" s="1" t="n">
        <x:v>-1.686918268338718e-7</x:v>
      </x:c>
      <x:c r="E23" s="1" t="n">
        <x:v>-8.970378301632335e-7</x:v>
      </x:c>
      <x:c r="F23" s="1" t="n">
        <x:v>-1.1823781592930656e-7</x:v>
      </x:c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15" hidden="0" customHeight="1">
      <x:c r="A24" s="1" t="n">
        <x:v>-0.2300001</x:v>
      </x:c>
      <x:c r="B24" s="1" t="n">
        <x:v>-0.00046471231849526726</x:v>
      </x:c>
      <x:c r="C24" s="1" t="n">
        <x:v>-0.000009498737538471901</x:v>
      </x:c>
      <x:c r="D24" s="1" t="n">
        <x:v>-1.876100444027284e-7</x:v>
      </x:c>
      <x:c r="E24" s="1" t="n">
        <x:v>-8.860020971447718e-7</x:v>
      </x:c>
      <x:c r="F24" s="1" t="n">
        <x:v>-1.7026297790563952e-7</x:v>
      </x:c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15" hidden="0" customHeight="1">
      <x:c r="A25" s="1" t="n">
        <x:v>-0.2199997</x:v>
      </x:c>
      <x:c r="B25" s="1" t="n">
        <x:v>-0.0004493743090551454</x:v>
      </x:c>
      <x:c r="C25" s="1" t="n">
        <x:v>-0.000009265413562477971</x:v>
      </x:c>
      <x:c r="D25" s="1" t="n">
        <x:v>-1.6396226536810461e-7</x:v>
      </x:c>
      <x:c r="E25" s="1" t="n">
        <x:v>-8.103292268693452e-7</x:v>
      </x:c>
      <x:c r="F25" s="1" t="n">
        <x:v>-1.6868639611292425e-7</x:v>
      </x:c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15" hidden="0" customHeight="1">
      <x:c r="A26" s="1" t="n">
        <x:v>-0.2100013</x:v>
      </x:c>
      <x:c r="B26" s="1" t="n">
        <x:v>-0.00043728716311485345</x:v>
      </x:c>
      <x:c r="C26" s="1" t="n">
        <x:v>-0.000009103031664495476</x:v>
      </x:c>
      <x:c r="D26" s="1" t="n">
        <x:v>-1.4819708406072408e-7</x:v>
      </x:c>
      <x:c r="E26" s="1" t="n">
        <x:v>-7.441155361138773e-7</x:v>
      </x:c>
      <x:c r="F26" s="1" t="n">
        <x:v>-1.592272873284959e-7</x:v>
      </x:c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15" hidden="0" customHeight="1">
      <x:c r="A27" s="1" t="n">
        <x:v>-0.1999995</x:v>
      </x:c>
      <x:c r="B27" s="1" t="n">
        <x:v>-0.0004188782413638909</x:v>
      </x:c>
      <x:c r="C27" s="1" t="n">
        <x:v>-0.000008962722081376266</x:v>
      </x:c>
      <x:c r="D27" s="1" t="n">
        <x:v>-1.608092291066285e-7</x:v>
      </x:c>
      <x:c r="E27" s="1" t="n">
        <x:v>-6.74748738361403e-7</x:v>
      </x:c>
      <x:c r="F27" s="1" t="n">
        <x:v>-1.8287512295154392e-7</x:v>
      </x:c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15" hidden="0" customHeight="1">
      <x:c r="A28" s="1" t="n">
        <x:v>-0.1900004</x:v>
      </x:c>
      <x:c r="B28" s="1" t="n">
        <x:v>-0.0004038697180237344</x:v>
      </x:c>
      <x:c r="C28" s="1" t="n">
        <x:v>-0.000008812952328439675</x:v>
      </x:c>
      <x:c r="D28" s="1" t="n">
        <x:v>-1.608092291066285e-7</x:v>
      </x:c>
      <x:c r="E28" s="1" t="n">
        <x:v>-6.511008602970367e-7</x:v>
      </x:c>
      <x:c r="F28" s="1" t="n">
        <x:v>-1.7026297790563952e-7</x:v>
      </x:c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15" hidden="0" customHeight="1">
      <x:c r="A29" s="1" t="n">
        <x:v>-0.1800007</x:v>
      </x:c>
      <x:c r="B29" s="1" t="n">
        <x:v>-0.00039148463402997446</x:v>
      </x:c>
      <x:c r="C29" s="1" t="n">
        <x:v>-0.000008631652920243624</x:v>
      </x:c>
      <x:c r="D29" s="1" t="n">
        <x:v>-1.9076308066420454e-7</x:v>
      </x:c>
      <x:c r="E29" s="1" t="n">
        <x:v>-6.558305207925463e-7</x:v>
      </x:c>
      <x:c r="F29" s="1" t="n">
        <x:v>-1.9548726799744837e-7</x:v>
      </x:c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15" hidden="0" customHeight="1">
      <x:c r="A30" s="1" t="n">
        <x:v>-0.1700003</x:v>
      </x:c>
      <x:c r="B30" s="1" t="n">
        <x:v>-0.0003784940538971626</x:v>
      </x:c>
      <x:c r="C30" s="1" t="n">
        <x:v>-0.000008508684859723708</x:v>
      </x:c>
      <x:c r="D30" s="1" t="n">
        <x:v>-1.2612583023039137e-7</x:v>
      </x:c>
      <x:c r="E30" s="1" t="n">
        <x:v>-5.454741809053525e-7</x:v>
      </x:c>
      <x:c r="F30" s="1" t="n">
        <x:v>-1.0877870714487826e-7</x:v>
      </x:c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15" hidden="0" customHeight="1">
      <x:c r="A31" s="1" t="n">
        <x:v>-0.1599992</x:v>
      </x:c>
      <x:c r="B31" s="1" t="n">
        <x:v>-0.00035816805780501047</x:v>
      </x:c>
      <x:c r="C31" s="1" t="n">
        <x:v>-0.000008284818224125951</x:v>
      </x:c>
      <x:c r="D31" s="1" t="n">
        <x:v>-1.4189101153777187e-7</x:v>
      </x:c>
      <x:c r="E31" s="1" t="n">
        <x:v>-6.132644251593235e-7</x:v>
      </x:c>
      <x:c r="F31" s="1" t="n">
        <x:v>-1.1193174340635435e-7</x:v>
      </x:c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15" hidden="0" customHeight="1">
      <x:c r="A32" s="1" t="n">
        <x:v>-0.1500001</x:v>
      </x:c>
      <x:c r="B32" s="1" t="n">
        <x:v>-0.00033992932573986086</x:v>
      </x:c>
      <x:c r="C32" s="1" t="n">
        <x:v>-0.000008131896495960837</x:v>
      </x:c>
      <x:c r="D32" s="1" t="n">
        <x:v>-1.74997899356824e-7</x:v>
      </x:c>
      <x:c r="E32" s="1" t="n">
        <x:v>-5.438976274068493e-7</x:v>
      </x:c>
      <x:c r="F32" s="1" t="n">
        <x:v>-1.3715603349816319e-7</x:v>
      </x:c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15" hidden="0" customHeight="1">
      <x:c r="A33" s="1" t="n">
        <x:v>-0.1400003</x:v>
      </x:c>
      <x:c r="B33" s="1" t="n">
        <x:v>-0.0003264090779564392</x:v>
      </x:c>
      <x:c r="C33" s="1" t="n">
        <x:v>-0.000007931678162840626</x:v>
      </x:c>
      <x:c r="D33" s="1" t="n">
        <x:v>-1.3243190275334355e-7</x:v>
      </x:c>
      <x:c r="E33" s="1" t="n">
        <x:v>-5.029082267431902e-7</x:v>
      </x:c>
      <x:c r="F33" s="1" t="n">
        <x:v>-1.229673632479677e-7</x:v>
      </x:c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15" hidden="0" customHeight="1">
      <x:c r="A34" s="1" t="n">
        <x:v>-0.1299999</x:v>
      </x:c>
      <x:c r="B34" s="1" t="n">
        <x:v>-0.0003083089875306052</x:v>
      </x:c>
      <x:c r="C34" s="1" t="n">
        <x:v>-0.000007731461244431022</x:v>
      </x:c>
      <x:c r="D34" s="1" t="n">
        <x:v>-1.08784126152022e-7</x:v>
      </x:c>
      <x:c r="E34" s="1" t="n">
        <x:v>-4.5718916558402156e-7</x:v>
      </x:c>
      <x:c r="F34" s="1" t="n">
        <x:v>-1.2454388845225876e-7</x:v>
      </x:c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15" hidden="0" customHeight="1">
      <x:c r="A35" s="1" t="n">
        <x:v>-0.1200015</x:v>
      </x:c>
      <x:c r="B35" s="1" t="n">
        <x:v>-0.0002926762938714074</x:v>
      </x:c>
      <x:c r="C35" s="1" t="n">
        <x:v>-0.000007488677098619711</x:v>
      </x:c>
      <x:c r="D35" s="1" t="n">
        <x:v>-1.3716146421911076e-7</x:v>
      </x:c>
      <x:c r="E35" s="1" t="n">
        <x:v>-5.076377457676392e-7</x:v>
      </x:c>
      <x:c r="F35" s="1" t="n">
        <x:v>-1.0877870714487826e-7</x:v>
      </x:c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15" hidden="0" customHeight="1">
      <x:c r="A36" s="1" t="n">
        <x:v>-0.1099997</x:v>
      </x:c>
      <x:c r="B36" s="1" t="n">
        <x:v>-0.0002717873844294218</x:v>
      </x:c>
      <x:c r="C36" s="1" t="n">
        <x:v>-0.000007310529665652183</x:v>
      </x:c>
      <x:c r="D36" s="1" t="n">
        <x:v>-1.4189101153777187e-7</x:v>
      </x:c>
      <x:c r="E36" s="1" t="n">
        <x:v>-4.240822494707573e-7</x:v>
      </x:c>
      <x:c r="F36" s="1" t="n">
        <x:v>-8.986047542891558e-8</x:v>
      </x:c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15" hidden="0" customHeight="1">
      <x:c r="A37" s="1" t="n">
        <x:v>-0.09999994</x:v>
      </x:c>
      <x:c r="B37" s="1" t="n">
        <x:v>-0.0002510577714015886</x:v>
      </x:c>
      <x:c r="C37" s="1" t="n">
        <x:v>-0.00000703936925452054</x:v>
      </x:c>
      <x:c r="D37" s="1" t="n">
        <x:v>-1.2770234128757637e-7</x:v>
      </x:c>
      <x:c r="E37" s="1" t="n">
        <x:v>-4.1462321142185924e-7</x:v>
      </x:c>
      <x:c r="F37" s="1" t="n">
        <x:v>-1.3873254455534822e-7</x:v>
      </x:c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15" hidden="0" customHeight="1">
      <x:c r="A38" s="1" t="n">
        <x:v>-0.09000085</x:v>
      </x:c>
      <x:c r="B38" s="1" t="n">
        <x:v>-0.00023157833813562483</x:v>
      </x:c>
      <x:c r="C38" s="1" t="n">
        <x:v>-0.000006689382583174345</x:v>
      </x:c>
      <x:c r="D38" s="1" t="n">
        <x:v>-1.3243190275334355e-7</x:v>
      </x:c>
      <x:c r="E38" s="1" t="n">
        <x:v>-3.7836318831158867e-7</x:v>
      </x:c>
      <x:c r="F38" s="1" t="n">
        <x:v>-1.261203995094438e-7</x:v>
      </x:c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15" hidden="0" customHeight="1">
      <x:c r="A39" s="1" t="n">
        <x:v>-0.07999976</x:v>
      </x:c>
      <x:c r="B39" s="1" t="n">
        <x:v>-0.00021185925289312978</x:v>
      </x:c>
      <x:c r="C39" s="1" t="n">
        <x:v>-0.000006454481204855549</x:v>
      </x:c>
      <x:c r="D39" s="1" t="n">
        <x:v>-1.686918268338718e-7</x:v>
      </x:c>
      <x:c r="E39" s="1" t="n">
        <x:v>-3.200321235775762e-7</x:v>
      </x:c>
      <x:c r="F39" s="1" t="n">
        <x:v>-1.2139085219078268e-7</x:v>
      </x:c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15" hidden="0" customHeight="1">
      <x:c r="A40" s="1" t="n">
        <x:v>-0.07</x:v>
      </x:c>
      <x:c r="B40" s="1" t="n">
        <x:v>-0.00019021205856672413</x:v>
      </x:c>
      <x:c r="C40" s="1" t="n">
        <x:v>-0.000006031973638462448</x:v>
      </x:c>
      <x:c r="D40" s="1" t="n">
        <x:v>-1.1824323674727989e-7</x:v>
      </x:c>
      <x:c r="E40" s="1" t="n">
        <x:v>-3.389503411464328e-7</x:v>
      </x:c>
      <x:c r="F40" s="1" t="n">
        <x:v>-8.986047542891558e-8</x:v>
      </x:c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15" hidden="0" customHeight="1">
      <x:c r="A41" s="1" t="n">
        <x:v>-0.05999957</x:v>
      </x:c>
      <x:c r="B41" s="1" t="n">
        <x:v>-0.00016643968596909497</x:v>
      </x:c>
      <x:c r="C41" s="1" t="n">
        <x:v>-0.00000561892624188673</x:v>
      </x:c>
      <x:c r="D41" s="1" t="n">
        <x:v>-6.621812711523934e-8</x:v>
      </x:c>
      <x:c r="E41" s="1" t="n">
        <x:v>-2.4751221882809554e-7</x:v>
      </x:c>
      <x:c r="F41" s="1" t="n">
        <x:v>-8.828396437173056e-8</x:v>
      </x:c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15" hidden="0" customHeight="1">
      <x:c r="A42" s="1" t="n">
        <x:v>-0.05000048</x:v>
      </x:c>
      <x:c r="B42" s="1" t="n">
        <x:v>-0.00014399327918045908</x:v>
      </x:c>
      <x:c r="C42" s="1" t="n">
        <x:v>-0.00000510340428261891</x:v>
      </x:c>
      <x:c r="D42" s="1" t="n">
        <x:v>-1.1824323674727989e-7</x:v>
      </x:c>
      <x:c r="E42" s="1" t="n">
        <x:v>-2.4751221882809554e-7</x:v>
      </x:c>
      <x:c r="F42" s="1" t="n">
        <x:v>-1.2454388845225876e-7</x:v>
      </x:c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15" hidden="0" customHeight="1">
      <x:c r="A43" s="1" t="n">
        <x:v>-0.04000006</x:v>
      </x:c>
      <x:c r="B43" s="1" t="n">
        <x:v>-0.00011844105917035067</x:v>
      </x:c>
      <x:c r="C43" s="1" t="n">
        <x:v>-0.0000044286552300183265</x:v>
      </x:c>
      <x:c r="D43" s="1" t="n">
        <x:v>-9.144241720704817e-8</x:v>
      </x:c>
      <x:c r="E43" s="1" t="n">
        <x:v>-2.1598185621333453e-7</x:v>
      </x:c>
      <x:c r="F43" s="1" t="n">
        <x:v>-4.571796776825014e-8</x:v>
      </x:c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15" hidden="0" customHeight="1">
      <x:c r="A44" s="1" t="n">
        <x:v>-0.0300003</x:v>
      </x:c>
      <x:c r="B44" s="1" t="n">
        <x:v>-0.00009292511234016119</x:v>
      </x:c>
      <x:c r="C44" s="1" t="n">
        <x:v>-0.00000372395109506194</x:v>
      </x:c>
      <x:c r="D44" s="1" t="n">
        <x:v>-1.0090153447974013e-7</x:v>
      </x:c>
      <x:c r="E44" s="1" t="n">
        <x:v>-1.9075756612152565e-7</x:v>
      </x:c>
      <x:c r="F44" s="1" t="n">
        <x:v>-1.0720218194058717e-7</x:v>
      </x:c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15" hidden="0" customHeight="1">
      <x:c r="A45" s="1" t="n">
        <x:v>-0.02000054</x:v>
      </x:c>
      <x:c r="B45" s="1" t="n">
        <x:v>-0.00006308793196620106</x:v>
      </x:c>
      <x:c r="C45" s="1" t="n">
        <x:v>-0.000002686601811358651</x:v>
      </x:c>
      <x:c r="D45" s="1" t="n">
        <x:v>-3.311123929618723e-8</x:v>
      </x:c>
      <x:c r="E45" s="1" t="n">
        <x:v>-1.2454377633631543e-7</x:v>
      </x:c>
      <x:c r="F45" s="1" t="n">
        <x:v>-1.5764116210674126e-8</x:v>
      </x:c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15" hidden="0" customHeight="1">
      <x:c r="A46" s="1" t="n">
        <x:v>-0.009999447</x:v>
      </x:c>
      <x:c r="B46" s="1" t="n">
        <x:v>-0.00003355658373088635</x:v>
      </x:c>
      <x:c r="C46" s="1" t="n">
        <x:v>-0.000001501059894101515</x:v>
      </x:c>
      <x:c r="D46" s="1" t="n">
        <x:v>-1.1039985465854514e-8</x:v>
      </x:c>
      <x:c r="E46" s="1" t="n">
        <x:v>-3.783526075448468e-8</x:v>
      </x:c>
      <x:c r="F46" s="1" t="n">
        <x:v>-5.990663801844563e-8</x:v>
      </x:c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15" hidden="0" customHeight="1">
      <x:c r="A47" s="1" t="n">
        <x:v>-0.000001022334</x:v>
      </x:c>
      <x:c r="B47" s="1" t="n">
        <x:v>-3.5442870954004075e-9</x:v>
      </x:c>
      <x:c r="C47" s="1" t="n">
        <x:v>-2.1435069676854747e-10</x:v>
      </x:c>
      <x:c r="D47" s="1" t="n">
        <x:v>-4.351477135121206e-12</x:v>
      </x:c>
      <x:c r="E47" s="1" t="n">
        <x:v>1.177212649765695e-12</x:v>
      </x:c>
      <x:c r="F47" s="1" t="n">
        <x:v>1.0650967063942094e-12</x:v>
      </x:c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15" hidden="0" customHeight="1">
      <x:c r="A48" s="1" t="n">
        <x:v>0.01000007</x:v>
      </x:c>
      <x:c r="B48" s="1" t="n">
        <x:v>0.00003466882550526312</x:v>
      </x:c>
      <x:c r="C48" s="1" t="n">
        <x:v>0.00000209655455097825</x:v>
      </x:c>
      <x:c r="D48" s="1" t="n">
        <x:v>4.256160268502714e-8</x:v>
      </x:c>
      <x:c r="E48" s="1" t="n">
        <x:v>2.5382061748213517e-7</x:v>
      </x:c>
      <x:c r="F48" s="1" t="n">
        <x:v>-2.9952782216737805e-8</x:v>
      </x:c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15" hidden="0" customHeight="1">
      <x:c r="A49" s="1" t="n">
        <x:v>0.01999983</x:v>
      </x:c>
      <x:c r="B49" s="1" t="n">
        <x:v>0.00007364193817298565</x:v>
      </x:c>
      <x:c r="C49" s="1" t="n">
        <x:v>0.0000045527708597010884</x:v>
      </x:c>
      <x:c r="D49" s="1" t="n">
        <x:v>1.135049539360046e-7</x:v>
      </x:c>
      <x:c r="E49" s="1" t="n">
        <x:v>4.035899460055455e-7</x:v>
      </x:c>
      <x:c r="F49" s="1" t="n">
        <x:v>8.198002204219113e-8</x:v>
      </x:c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15" hidden="0" customHeight="1">
      <x:c r="A50" s="1" t="n">
        <x:v>0.02999825</x:v>
      </x:c>
      <x:c r="B50" s="1" t="n">
        <x:v>0.0001152557213622768</x:v>
      </x:c>
      <x:c r="C50" s="1" t="n">
        <x:v>0.000008088900850107712</x:v>
      </x:c>
      <x:c r="D50" s="1" t="n">
        <x:v>1.923309312084375e-7</x:v>
      </x:c>
      <x:c r="E50" s="1" t="n">
        <x:v>6.747510644924904e-7</x:v>
      </x:c>
      <x:c r="F50" s="1" t="n">
        <x:v>1.229694651471684e-7</x:v>
      </x:c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15" hidden="0" customHeight="1">
      <x:c r="A51" s="1" t="n">
        <x:v>0.04000068</x:v>
      </x:c>
      <x:c r="B51" s="1" t="n">
        <x:v>0.00016118125953428332</x:v>
      </x:c>
      <x:c r="C51" s="1" t="n">
        <x:v>0.000012596167423759582</x:v>
      </x:c>
      <x:c r="D51" s="1" t="n">
        <x:v>3.105697556460262e-7</x:v>
      </x:c>
      <x:c r="E51" s="1" t="n">
        <x:v>9.254174119120755e-7</x:v>
      </x:c>
      <x:c r="F51" s="1" t="n">
        <x:v>2.2229021348696103e-7</x:v>
      </x:c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15" hidden="0" customHeight="1">
      <x:c r="A52" s="1" t="n">
        <x:v>0.04999977</x:v>
      </x:c>
      <x:c r="B52" s="1" t="n">
        <x:v>0.00021100085938280182</x:v>
      </x:c>
      <x:c r="C52" s="1" t="n">
        <x:v>0.000018613743671823276</x:v>
      </x:c>
      <x:c r="D52" s="1" t="n">
        <x:v>4.3196168708062133e-7</x:v>
      </x:c>
      <x:c r="E52" s="1" t="n">
        <x:v>0.0000013526539314453829</x:v>
      </x:c>
      <x:c r="F52" s="1" t="n">
        <x:v>3.3579951890010075e-7</x:v>
      </x:c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15" hidden="0" customHeight="1">
      <x:c r="A53" s="1" t="n">
        <x:v>0.05999953</x:v>
      </x:c>
      <x:c r="B53" s="1" t="n">
        <x:v>0.0002673975903062406</x:v>
      </x:c>
      <x:c r="C53" s="1" t="n">
        <x:v>0.00002592090786037653</x:v>
      </x:c>
      <x:c r="D53" s="1" t="n">
        <x:v>6.999698400416204e-7</x:v>
      </x:c>
      <x:c r="E53" s="1" t="n">
        <x:v>0.0000017972322565201043</x:v>
      </x:c>
      <x:c r="F53" s="1" t="n">
        <x:v>5.044869235213072e-7</x:v>
      </x:c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15" hidden="0" customHeight="1">
      <x:c r="A54" s="1" t="n">
        <x:v>0.06999929</x:v>
      </x:c>
      <x:c r="B54" s="1" t="n">
        <x:v>0.0003257461974517583</x:v>
      </x:c>
      <x:c r="C54" s="1" t="n">
        <x:v>0.00003622345296055557</x:v>
      </x:c>
      <x:c r="D54" s="1" t="n">
        <x:v>9.332945233908521e-7</x:v>
      </x:c>
      <x:c r="E54" s="1" t="n">
        <x:v>0.0000025192779140757835</x:v>
      </x:c>
      <x:c r="F54" s="1" t="n">
        <x:v>7.598829314364018e-7</x:v>
      </x:c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15" hidden="0" customHeight="1">
      <x:c r="A55" s="1" t="n">
        <x:v>0.08000038</x:v>
      </x:c>
      <x:c r="B55" s="1" t="n">
        <x:v>0.00039531473293654285</x:v>
      </x:c>
      <x:c r="C55" s="1" t="n">
        <x:v>0.00004971056822160198</x:v>
      </x:c>
      <x:c r="D55" s="1" t="n">
        <x:v>0.0000014456635171327261</x:v>
      </x:c>
      <x:c r="E55" s="1" t="n">
        <x:v>0.0000034494232575335824</x:v>
      </x:c>
      <x:c r="F55" s="1" t="n">
        <x:v>0.0000010625744125381079</x:v>
      </x:c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15" hidden="0" customHeight="1">
      <x:c r="A56" s="1" t="n">
        <x:v>0.08999814</x:v>
      </x:c>
      <x:c r="B56" s="1" t="n">
        <x:v>0.0004649211826655484</x:v>
      </x:c>
      <x:c r="C56" s="1" t="n">
        <x:v>0.00006842226633630257</x:v>
      </x:c>
      <x:c r="D56" s="1" t="n">
        <x:v>0.0000020746933671030805</x:v>
      </x:c>
      <x:c r="E56" s="1" t="n">
        <x:v>0.000004535645133806228</x:v>
      </x:c>
      <x:c r="F56" s="1" t="n">
        <x:v>0.0000014819281645788994</x:v>
      </x:c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15" hidden="0" customHeight="1">
      <x:c r="A57" s="1" t="n">
        <x:v>0.1000006</x:v>
      </x:c>
      <x:c r="B57" s="1" t="n">
        <x:v>0.000545497015485629</x:v>
      </x:c>
      <x:c r="C57" s="1" t="n">
        <x:v>0.00009021605297562541</x:v>
      </x:c>
      <x:c r="D57" s="1" t="n">
        <x:v>0.0000028582237622740203</x:v>
      </x:c>
      <x:c r="E57" s="1" t="n">
        <x:v>0.000006120046032036798</x:v>
      </x:c>
      <x:c r="F57" s="1" t="n">
        <x:v>0.0000021141128191989865</x:v>
      </x:c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15" hidden="0" customHeight="1">
      <x:c r="A58" s="1" t="n">
        <x:v>0.1099997</x:v>
      </x:c>
      <x:c r="B58" s="1" t="n">
        <x:v>0.0006316111573831864</x:v>
      </x:c>
      <x:c r="C58" s="1" t="n">
        <x:v>0.00012078473776224797</x:v>
      </x:c>
      <x:c r="D58" s="1" t="n">
        <x:v>0.000004160428091941302</x:v>
      </x:c>
      <x:c r="E58" s="1" t="n">
        <x:v>0.000008057586991552688</x:v>
      </x:c>
      <x:c r="F58" s="1" t="n">
        <x:v>0.0000030836705854087596</x:v>
      </x:c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15" hidden="0" customHeight="1">
      <x:c r="A59" s="1" t="n">
        <x:v>0.1199994</x:v>
      </x:c>
      <x:c r="B59" s="1" t="n">
        <x:v>0.0007317389981232806</x:v>
      </x:c>
      <x:c r="C59" s="1" t="n">
        <x:v>0.00015585122612328382</x:v>
      </x:c>
      <x:c r="D59" s="1" t="n">
        <x:v>0.000005904057498215239</x:v>
      </x:c>
      <x:c r="E59" s="1" t="n">
        <x:v>0.000010737668521162679</x:v>
      </x:c>
      <x:c r="F59" s="1" t="n">
        <x:v>0.0000045214565353524684</x:v>
      </x:c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15" hidden="0" customHeight="1">
      <x:c r="A60" s="1" t="n">
        <x:v>0.1299992</x:v>
      </x:c>
      <x:c r="B60" s="1" t="n">
        <x:v>0.0008356647709542593</x:v>
      </x:c>
      <x:c r="C60" s="1" t="n">
        <x:v>0.00020805758423393864</x:v>
      </x:c>
      <x:c r="D60" s="1" t="n">
        <x:v>0.000008387074084644148</x:v>
      </x:c>
      <x:c r="E60" s="1" t="n">
        <x:v>0.000014477168819918035</x:v>
      </x:c>
      <x:c r="F60" s="1" t="n">
        <x:v>0.000006105857433583037</x:v>
      </x:c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15" hidden="0" customHeight="1">
      <x:c r="A61" s="1" t="n">
        <x:v>0.1399989</x:v>
      </x:c>
      <x:c r="B61" s="1" t="n">
        <x:v>0.000950175125591682</x:v>
      </x:c>
      <x:c r="C61" s="1" t="n">
        <x:v>0.00026814189982105144</x:v>
      </x:c>
      <x:c r="D61" s="1" t="n">
        <x:v>0.000011663078406640167</x:v>
      </x:c>
      <x:c r="E61" s="1" t="n">
        <x:v>0.00001955987034697054</x:v>
      </x:c>
      <x:c r="F61" s="1" t="n">
        <x:v>0.000008705535300653607</x:v>
      </x:c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15" hidden="0" customHeight="1">
      <x:c r="A62" s="1" t="n">
        <x:v>0.15</x:v>
      </x:c>
      <x:c r="B62" s="1" t="n">
        <x:v>0.0010643907960100284</x:v>
      </x:c>
      <x:c r="C62" s="1" t="n">
        <x:v>0.0003501649815903143</x:v>
      </x:c>
      <x:c r="D62" s="1" t="n">
        <x:v>0.000016726858179347303</x:v>
      </x:c>
      <x:c r="E62" s="1" t="n">
        <x:v>0.00002537721694422918</x:v>
      </x:c>
      <x:c r="F62" s="1" t="n">
        <x:v>0.000012203830270633124</x:v>
      </x:c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15" hidden="0" customHeight="1">
      <x:c r="A63" s="1" t="n">
        <x:v>0.1600004</x:v>
      </x:c>
      <x:c r="B63" s="1" t="n">
        <x:v>0.0012038889011260602</x:v>
      </x:c>
      <x:c r="C63" s="1" t="n">
        <x:v>0.0004436525951624936</x:v>
      </x:c>
      <x:c r="D63" s="1" t="n">
        <x:v>0.000024049782244043167</x:v>
      </x:c>
      <x:c r="E63" s="1" t="n">
        <x:v>0.0000338163193822641</x:v>
      </x:c>
      <x:c r="F63" s="1" t="n">
        <x:v>0.0000173338213290877</x:v>
      </x:c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15" hidden="0" customHeight="1">
      <x:c r="A64" s="1" t="n">
        <x:v>0.1699989</x:v>
      </x:c>
      <x:c r="B64" s="1" t="n">
        <x:v>0.0013430781749169637</x:v>
      </x:c>
      <x:c r="C64" s="1" t="n">
        <x:v>0.0005668638444354547</x:v>
      </x:c>
      <x:c r="D64" s="1" t="n">
        <x:v>0.000033004405226635306</x:v>
      </x:c>
      <x:c r="E64" s="1" t="n">
        <x:v>0.000044926041765381026</x:v>
      </x:c>
      <x:c r="F64" s="1" t="n">
        <x:v>0.00002456372817148763</x:v>
      </x:c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15" hidden="0" customHeight="1">
      <x:c r="A65" s="1" t="n">
        <x:v>0.1799993</x:v>
      </x:c>
      <x:c r="B65" s="1" t="n">
        <x:v>0.0014963798943506508</x:v>
      </x:c>
      <x:c r="C65" s="1" t="n">
        <x:v>0.0007079369468683239</x:v>
      </x:c>
      <x:c r="D65" s="1" t="n">
        <x:v>0.000046378018255821614</x:v>
      </x:c>
      <x:c r="E65" s="1" t="n">
        <x:v>0.00005997390820746986</x:v>
      </x:c>
      <x:c r="F65" s="1" t="n">
        <x:v>0.0000344059405878207</x:v>
      </x:c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15" hidden="0" customHeight="1">
      <x:c r="A66" s="1" t="n">
        <x:v>0.1899991</x:v>
      </x:c>
      <x:c r="B66" s="1" t="n">
        <x:v>0.0016550991065761255</x:v>
      </x:c>
      <x:c r="C66" s="1" t="n">
        <x:v>0.0008919323690648205</x:v>
      </x:c>
      <x:c r="D66" s="1" t="n">
        <x:v>0.00006508340676122271</x:v>
      </x:c>
      <x:c r="E66" s="1" t="n">
        <x:v>0.00008006190753449888</x:v>
      </x:c>
      <x:c r="F66" s="1" t="n">
        <x:v>0.00004964772141257269</x:v>
      </x:c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15" hidden="0" customHeight="1">
      <x:c r="A67" s="1" t="n">
        <x:v>0.1999995</x:v>
      </x:c>
      <x:c r="B67" s="1" t="n">
        <x:v>0.0018325250371349707</x:v>
      </x:c>
      <x:c r="C67" s="1" t="n">
        <x:v>0.0010999666953369778</x:v>
      </x:c>
      <x:c r="D67" s="1" t="n">
        <x:v>0.00009092885383848361</x:v>
      </x:c>
      <x:c r="E67" s="1" t="n">
        <x:v>0.0001066577737052146</x:v>
      </x:c>
      <x:c r="F67" s="1" t="n">
        <x:v>0.0000677729512458622</x:v>
      </x:c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15" hidden="0" customHeight="1">
      <x:c r="A68" s="1" t="n">
        <x:v>0.2099999</x:v>
      </x:c>
      <x:c r="B68" s="1" t="n">
        <x:v>0.00201060031986163</x:v>
      </x:c>
      <x:c r="C68" s="1" t="n">
        <x:v>0.0013465119907634367</x:v>
      </x:c>
      <x:c r="D68" s="1" t="n">
        <x:v>0.00012595592836205688</x:v>
      </x:c>
      <x:c r="E68" s="1" t="n">
        <x:v>0.0001415066937222673</x:v>
      </x:c>
      <x:c r="F68" s="1" t="n">
        <x:v>0.00009473456254935612</x:v>
      </x:c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15" hidden="0" customHeight="1">
      <x:c r="A69" s="1" t="n">
        <x:v>0.2199997</x:v>
      </x:c>
      <x:c r="B69" s="1" t="n">
        <x:v>0.0022056832534847414</x:v>
      </x:c>
      <x:c r="C69" s="1" t="n">
        <x:v>0.001624604908274041</x:v>
      </x:c>
      <x:c r="D69" s="1" t="n">
        <x:v>0.00017458997242915432</x:v>
      </x:c>
      <x:c r="E69" s="1" t="n">
        <x:v>0.0001830826334028677</x:v>
      </x:c>
      <x:c r="F69" s="1" t="n">
        <x:v>0.00013448805788115288</x:v>
      </x:c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15" hidden="0" customHeight="1">
      <x:c r="A70" s="1" t="n">
        <x:v>0.2299994</x:v>
      </x:c>
      <x:c r="B70" s="1" t="n">
        <x:v>0.0024112774869049437</x:v>
      </x:c>
      <x:c r="C70" s="1" t="n">
        <x:v>0.0019322705118638456</x:v>
      </x:c>
      <x:c r="D70" s="1" t="n">
        <x:v>0.000237743644145442</x:v>
      </x:c>
      <x:c r="E70" s="1" t="n">
        <x:v>0.0002465202375376314</x:v>
      </x:c>
      <x:c r="F70" s="1" t="n">
        <x:v>0.00018449526250303508</x:v>
      </x:c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 ht="15" hidden="0" customHeight="1">
      <x:c r="A71" s="1" t="n">
        <x:v>0.2399992</x:v>
      </x:c>
      <x:c r="B71" s="1" t="n">
        <x:v>0.0026383979568948023</x:v>
      </x:c>
      <x:c r="C71" s="1" t="n">
        <x:v>0.002318926482098415</x:v>
      </x:c>
      <x:c r="D71" s="1" t="n">
        <x:v>0.0003197951615978706</x:v>
      </x:c>
      <x:c r="E71" s="1" t="n">
        <x:v>0.00032724900057414067</x:v>
      </x:c>
      <x:c r="F71" s="1" t="n">
        <x:v>0.0002558389768553015</x:v>
      </x:c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 ht="15" hidden="0" customHeight="1">
      <x:c r="A72" s="1" t="n">
        <x:v>0.2500009</x:v>
      </x:c>
      <x:c r="B72" s="1" t="n">
        <x:v>0.0028709410126346265</x:v>
      </x:c>
      <x:c r="C72" s="1" t="n">
        <x:v>0.0027245013772571425</x:v>
      </x:c>
      <x:c r="D72" s="1" t="n">
        <x:v>0.00043069687242339275</x:v>
      </x:c>
      <x:c r="E72" s="1" t="n">
        <x:v>0.00041980474427063435</x:v>
      </x:c>
      <x:c r="F72" s="1" t="n">
        <x:v>0.00034481140005972877</x:v>
      </x:c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 ht="15" hidden="0" customHeight="1">
      <x:c r="A73" s="1" t="n">
        <x:v>0.2599994</x:v>
      </x:c>
      <x:c r="B73" s="1" t="n">
        <x:v>0.003112284983049782</x:v>
      </x:c>
      <x:c r="C73" s="1" t="n">
        <x:v>0.0031737894154078394</x:v>
      </x:c>
      <x:c r="D73" s="1" t="n">
        <x:v>0.0005726797752465054</x:v>
      </x:c>
      <x:c r="E73" s="1" t="n">
        <x:v>0.0005406118343410144</x:v>
      </x:c>
      <x:c r="F73" s="1" t="n">
        <x:v>0.0004570548224232807</x:v>
      </x:c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 ht="15" hidden="0" customHeight="1">
      <x:c r="A74" s="1" t="n">
        <x:v>0.2699998</x:v>
      </x:c>
      <x:c r="B74" s="1" t="n">
        <x:v>0.003357933917836747</x:v>
      </x:c>
      <x:c r="C74" s="1" t="n">
        <x:v>0.003680977314500065</x:v>
      </x:c>
      <x:c r="D74" s="1" t="n">
        <x:v>0.0007448245911159099</x:v>
      </x:c>
      <x:c r="E74" s="1" t="n">
        <x:v>0.0006787211180558613</x:v>
      </x:c>
      <x:c r="F74" s="1" t="n">
        <x:v>0.0006062564275807997</x:v>
      </x:c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 ht="15" hidden="0" customHeight="1">
      <x:c r="A75" s="1" t="n">
        <x:v>0.2799989</x:v>
      </x:c>
      <x:c r="B75" s="1" t="n">
        <x:v>0.003611305757817834</x:v>
      </x:c>
      <x:c r="C75" s="1" t="n">
        <x:v>0.004222726593678824</x:v>
      </x:c>
      <x:c r="D75" s="1" t="n">
        <x:v>0.0009571437928692824</x:v>
      </x:c>
      <x:c r="E75" s="1" t="n">
        <x:v>0.000881194924294039</x:v>
      </x:c>
      <x:c r="F75" s="1" t="n">
        <x:v>0.0007921327075269913</x:v>
      </x:c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 ht="15" hidden="0" customHeight="1">
      <x:c r="A76" s="1" t="n">
        <x:v>0.29</x:v>
      </x:c>
      <x:c r="B76" s="1" t="n">
        <x:v>0.003884773561946658</x:v>
      </x:c>
      <x:c r="C76" s="1" t="n">
        <x:v>0.004813291877002729</x:v>
      </x:c>
      <x:c r="D76" s="1" t="n">
        <x:v>0.0012036261336738072</x:v>
      </x:c>
      <x:c r="E76" s="1" t="n">
        <x:v>0.0010735427979039983</x:v>
      </x:c>
      <x:c r="F76" s="1" t="n">
        <x:v>0.0010035265470734625</x:v>
      </x:c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 ht="15" hidden="0" customHeight="1">
      <x:c r="A77" s="1" t="n">
        <x:v>0.2999997</x:v>
      </x:c>
      <x:c r="B77" s="1" t="n">
        <x:v>0.004158193265914902</x:v>
      </x:c>
      <x:c r="C77" s="1" t="n">
        <x:v>0.005457522792426615</x:v>
      </x:c>
      <x:c r="D77" s="1" t="n">
        <x:v>0.001495199404128765</x:v>
      </x:c>
      <x:c r="E77" s="1" t="n">
        <x:v>0.0013210389203282534</x:v>
      </x:c>
      <x:c r="F77" s="1" t="n">
        <x:v>0.0012566223770154627</x:v>
      </x:c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 ht="15" hidden="0" customHeight="1">
      <x:c r="A78" s="1" t="n">
        <x:v>0.3099995</x:v>
      </x:c>
      <x:c r="B78" s="1" t="n">
        <x:v>0.00447183177768012</x:v>
      </x:c>
      <x:c r="C78" s="1" t="n">
        <x:v>0.006138957767347663</x:v>
      </x:c>
      <x:c r="D78" s="1" t="n">
        <x:v>0.0018307546125906906</x:v>
      </x:c>
      <x:c r="E78" s="1" t="n">
        <x:v>0.0015985349714344977</x:v>
      </x:c>
      <x:c r="F78" s="1" t="n">
        <x:v>0.001541052773624456</x:v>
      </x:c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 ht="15" hidden="0" customHeight="1">
      <x:c r="A79" s="1" t="n">
        <x:v>0.3200006</x:v>
      </x:c>
      <x:c r="B79" s="1" t="n">
        <x:v>0.004772275283630066</x:v>
      </x:c>
      <x:c r="C79" s="1" t="n">
        <x:v>0.006878874049269003</x:v>
      </x:c>
      <x:c r="D79" s="1" t="n">
        <x:v>0.002203661010452725</x:v>
      </x:c>
      <x:c r="E79" s="1" t="n">
        <x:v>0.001893896836890345</x:v>
      </x:c>
      <x:c r="F79" s="1" t="n">
        <x:v>0.0018421527052952431</x:v>
      </x:c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 ht="15" hidden="0" customHeight="1">
      <x:c r="A80" s="1" t="n">
        <x:v>0.330001</x:v>
      </x:c>
      <x:c r="B80" s="1" t="n">
        <x:v>0.005062945968718867</x:v>
      </x:c>
      <x:c r="C80" s="1" t="n">
        <x:v>0.007661770654088786</x:v>
      </x:c>
      <x:c r="D80" s="1" t="n">
        <x:v>0.0026090859462872956</x:v>
      </x:c>
      <x:c r="E80" s="1" t="n">
        <x:v>0.0022316108937358993</x:v>
      </x:c>
      <x:c r="F80" s="1" t="n">
        <x:v>0.0021944863815355677</x:v>
      </x:c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 ht="15" hidden="0" customHeight="1">
      <x:c r="A81" s="1" t="n">
        <x:v>0.3399994</x:v>
      </x:c>
      <x:c r="B81" s="1" t="n">
        <x:v>0.0053887637240847795</x:v>
      </x:c>
      <x:c r="C81" s="1" t="n">
        <x:v>0.008462144593725967</x:v>
      </x:c>
      <x:c r="D81" s="1" t="n">
        <x:v>0.0030487228286888994</x:v>
      </x:c>
      <x:c r="E81" s="1" t="n">
        <x:v>0.002597092890341523</x:v>
      </x:c>
      <x:c r="F81" s="1" t="n">
        <x:v>0.0025776055752569833</x:v>
      </x:c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 ht="15" hidden="0" customHeight="1">
      <x:c r="A82" s="1" t="n">
        <x:v>0.3499999</x:v>
      </x:c>
      <x:c r="B82" s="1" t="n">
        <x:v>0.005712963050518273</x:v>
      </x:c>
      <x:c r="C82" s="1" t="n">
        <x:v>0.009336645124947024</x:v>
      </x:c>
      <x:c r="D82" s="1" t="n">
        <x:v>0.0035116571653379465</x:v>
      </x:c>
      <x:c r="E82" s="1" t="n">
        <x:v>0.0029685690157816376</x:v>
      </x:c>
      <x:c r="F82" s="1" t="n">
        <x:v>0.002965983248298155</x:v>
      </x:c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 ht="15" hidden="0" customHeight="1">
      <x:c r="A83" s="1" t="n">
        <x:v>0.360001</x:v>
      </x:c>
      <x:c r="B83" s="1" t="n">
        <x:v>0.006065708407544729</x:v>
      </x:c>
      <x:c r="C83" s="1" t="n">
        <x:v>0.010234010208970315</x:v>
      </x:c>
      <x:c r="D83" s="1" t="n">
        <x:v>0.004022789277597641</x:v>
      </x:c>
      <x:c r="E83" s="1" t="n">
        <x:v>0.0033821992731267237</x:v>
      </x:c>
      <x:c r="F83" s="1" t="n">
        <x:v>0.0033810621693030284</x:v>
      </x:c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 ht="15" hidden="0" customHeight="1">
      <x:c r="A84" s="1" t="n">
        <x:v>0.37</x:v>
      </x:c>
      <x:c r="B84" s="1" t="n">
        <x:v>0.006398079102434211</x:v>
      </x:c>
      <x:c r="C84" s="1" t="n">
        <x:v>0.01120710758111445</x:v>
      </x:c>
      <x:c r="D84" s="1" t="n">
        <x:v>0.004538333872235145</x:v>
      </x:c>
      <x:c r="E84" s="1" t="n">
        <x:v>0.003800288698299593</x:v>
      </x:c>
      <x:c r="F84" s="1" t="n">
        <x:v>0.0038164195521237176</x:v>
      </x:c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 ht="15" hidden="0" customHeight="1">
      <x:c r="A85" s="1" t="n">
        <x:v>0.3799991</x:v>
      </x:c>
      <x:c r="B85" s="1" t="n">
        <x:v>0.0067521274079281116</x:v>
      </x:c>
      <x:c r="C85" s="1" t="n">
        <x:v>0.012130228886417127</x:v>
      </x:c>
      <x:c r="D85" s="1" t="n">
        <x:v>0.005089962075570443</x:v>
      </x:c>
      <x:c r="E85" s="1" t="n">
        <x:v>0.00423593892621557</x:v>
      </x:c>
      <x:c r="F85" s="1" t="n">
        <x:v>0.004266127759324177</x:v>
      </x:c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 ht="15" hidden="0" customHeight="1">
      <x:c r="A86" s="1" t="n">
        <x:v>0.3899996</x:v>
      </x:c>
      <x:c r="B86" s="1" t="n">
        <x:v>0.007101091243506705</x:v>
      </x:c>
      <x:c r="C86" s="1" t="n">
        <x:v>0.013191632494541677</x:v>
      </x:c>
      <x:c r="D86" s="1" t="n">
        <x:v>0.005649369772524075</x:v>
      </x:c>
      <x:c r="E86" s="1" t="n">
        <x:v>0.004676864609978568</x:v>
      </x:c>
      <x:c r="F86" s="1" t="n">
        <x:v>0.004735576838310452</x:v>
      </x:c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 ht="15" hidden="0" customHeight="1">
      <x:c r="A87" s="1" t="n">
        <x:v>0.4</x:v>
      </x:c>
      <x:c r="B87" s="1" t="n">
        <x:v>0.007454552444099423</x:v>
      </x:c>
      <x:c r="C87" s="1" t="n">
        <x:v>0.014209223929931885</x:v>
      </x:c>
      <x:c r="D87" s="1" t="n">
        <x:v>0.006234915662620513</x:v>
      </x:c>
      <x:c r="E87" s="1" t="n">
        <x:v>0.005135174257659016</x:v>
      </x:c>
      <x:c r="F87" s="1" t="n">
        <x:v>0.005204433153553123</x:v>
      </x:c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 ht="15" hidden="0" customHeight="1">
      <x:c r="A88" s="1" t="n">
        <x:v>0.4099991</x:v>
      </x:c>
      <x:c r="B88" s="1" t="n">
        <x:v>0.007845852909251065</x:v>
      </x:c>
      <x:c r="C88" s="1" t="n">
        <x:v>0.015337356607885398</x:v>
      </x:c>
      <x:c r="D88" s="1" t="n">
        <x:v>0.006845350556395312</x:v>
      </x:c>
      <x:c r="E88" s="1" t="n">
        <x:v>0.005622001641720322</x:v>
      </x:c>
      <x:c r="F88" s="1" t="n">
        <x:v>0.005687408280636302</x:v>
      </x:c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 ht="15" hidden="0" customHeight="1">
      <x:c r="A89" s="1" t="n">
        <x:v>0.4199982</x:v>
      </x:c>
      <x:c r="B89" s="1" t="n">
        <x:v>0.008261391611202647</x:v>
      </x:c>
      <x:c r="C89" s="1" t="n">
        <x:v>0.016344955942270648</x:v>
      </x:c>
      <x:c r="D89" s="1" t="n">
        <x:v>0.007450326081944409</x:v>
      </x:c>
      <x:c r="E89" s="1" t="n">
        <x:v>0.006091082895949229</x:v>
      </x:c>
      <x:c r="F89" s="1" t="n">
        <x:v>0.006197042214365024</x:v>
      </x:c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 ht="15" hidden="0" customHeight="1">
      <x:c r="A90" s="1" t="n">
        <x:v>0.4299999</x:v>
      </x:c>
      <x:c r="B90" s="1" t="n">
        <x:v>0.008661442061447831</x:v>
      </x:c>
      <x:c r="C90" s="1" t="n">
        <x:v>0.01767104907521837</x:v>
      </x:c>
      <x:c r="D90" s="1" t="n">
        <x:v>0.008090338330343406</x:v>
      </x:c>
      <x:c r="E90" s="1" t="n">
        <x:v>0.0065892067441935456</x:v>
      </x:c>
      <x:c r="F90" s="1" t="n">
        <x:v>0.006708164423650481</x:v>
      </x:c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 ht="15" hidden="0" customHeight="1">
      <x:c r="A91" s="1" t="n">
        <x:v>0.439999</x:v>
      </x:c>
      <x:c r="B91" s="1" t="n">
        <x:v>0.00913147824533529</x:v>
      </x:c>
      <x:c r="C91" s="1" t="n">
        <x:v>0.018760574300754302</x:v>
      </x:c>
      <x:c r="D91" s="1" t="n">
        <x:v>0.008713371222058059</x:v>
      </x:c>
      <x:c r="E91" s="1" t="n">
        <x:v>0.007072310609941803</x:v>
      </x:c>
      <x:c r="F91" s="1" t="n">
        <x:v>0.0072209376002122785</x:v>
      </x:c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 ht="15" hidden="0" customHeight="1">
      <x:c r="A92" s="1" t="n">
        <x:v>0.4500015</x:v>
      </x:c>
      <x:c r="B92" s="1" t="n">
        <x:v>0.009590499492450184</x:v>
      </x:c>
      <x:c r="C92" s="1" t="n">
        <x:v>0.020003326831946083</x:v>
      </x:c>
      <x:c r="D92" s="1" t="n">
        <x:v>0.009384419391715278</x:v>
      </x:c>
      <x:c r="E92" s="1" t="n">
        <x:v>0.007591887129804302</x:v>
      </x:c>
      <x:c r="F92" s="1" t="n">
        <x:v>0.0077580763375284904</x:v>
      </x:c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 ht="15" hidden="0" customHeight="1">
      <x:c r="A93" s="1" t="n">
        <x:v>0.4600012</x:v>
      </x:c>
      <x:c r="B93" s="1" t="n">
        <x:v>0.00992920667614063</x:v>
      </x:c>
      <x:c r="C93" s="1" t="n">
        <x:v>0.021166204802364814</x:v>
      </x:c>
      <x:c r="D93" s="1" t="n">
        <x:v>0.010063092851534857</x:v>
      </x:c>
      <x:c r="E93" s="1" t="n">
        <x:v>0.008103675667784837</x:v>
      </x:c>
      <x:c r="F93" s="1" t="n">
        <x:v>0.008277727837053068</x:v>
      </x:c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 ht="15" hidden="0" customHeight="1">
      <x:c r="A94" s="1" t="n">
        <x:v>0.4699996</x:v>
      </x:c>
      <x:c r="B94" s="1" t="n">
        <x:v>0.0103553359016832</x:v>
      </x:c>
      <x:c r="C94" s="1" t="n">
        <x:v>0.022459802032709687</x:v>
      </x:c>
      <x:c r="D94" s="1" t="n">
        <x:v>0.010766031427655877</x:v>
      </x:c>
      <x:c r="E94" s="1" t="n">
        <x:v>0.008627353433691988</x:v>
      </x:c>
      <x:c r="F94" s="1" t="n">
        <x:v>0.008844337825698084</x:v>
      </x:c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 ht="15" hidden="0" customHeight="1">
      <x:c r="A95" s="1" t="n">
        <x:v>0.4800001</x:v>
      </x:c>
      <x:c r="B95" s="1" t="n">
        <x:v>0.010826741525436553</x:v>
      </x:c>
      <x:c r="C95" s="1" t="n">
        <x:v>0.023673015406463615</x:v>
      </x:c>
      <x:c r="D95" s="1" t="n">
        <x:v>0.011431303333911813</x:v>
      </x:c>
      <x:c r="E95" s="1" t="n">
        <x:v>0.00915565871798895</x:v>
      </x:c>
      <x:c r="F95" s="1" t="n">
        <x:v>0.00939037226330018</x:v>
      </x:c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 ht="15" hidden="0" customHeight="1">
      <x:c r="A96" s="1" t="n">
        <x:v>0.4899998</x:v>
      </x:c>
      <x:c r="B96" s="1" t="n">
        <x:v>0.01127241639270141</x:v>
      </x:c>
      <x:c r="C96" s="1" t="n">
        <x:v>0.024986786410039513</x:v>
      </x:c>
      <x:c r="D96" s="1" t="n">
        <x:v>0.012123456156378321</x:v>
      </x:c>
      <x:c r="E96" s="1" t="n">
        <x:v>0.00967202525948811</x:v>
      </x:c>
      <x:c r="F96" s="1" t="n">
        <x:v>0.009914678160716067</x:v>
      </x:c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 ht="15" hidden="0" customHeight="1">
      <x:c r="A97" s="1" t="n">
        <x:v>0.4999989</x:v>
      </x:c>
      <x:c r="B97" s="1" t="n">
        <x:v>0.011653869057329827</x:v>
      </x:c>
      <x:c r="C97" s="1" t="n">
        <x:v>0.026323659637799326</x:v>
      </x:c>
      <x:c r="D97" s="1" t="n">
        <x:v>0.01280220742528119</x:v>
      </x:c>
      <x:c r="E97" s="1" t="n">
        <x:v>0.01021370521784721</x:v>
      </x:c>
      <x:c r="F97" s="1" t="n">
        <x:v>0.0104729837981082</x:v>
      </x:c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 ht="15" hidden="0" customHeight="1">
      <x:c r="A98" s="1" t="n">
        <x:v>0.5099993</x:v>
      </x:c>
      <x:c r="B98" s="1" t="n">
        <x:v>0.012103790885831684</x:v>
      </x:c>
      <x:c r="C98" s="1" t="n">
        <x:v>0.02767426970553623</x:v>
      </x:c>
      <x:c r="D98" s="1" t="n">
        <x:v>0.013487371577357707</x:v>
      </x:c>
      <x:c r="E98" s="1" t="n">
        <x:v>0.01076876975324269</x:v>
      </x:c>
      <x:c r="F98" s="1" t="n">
        <x:v>0.011016662742552533</x:v>
      </x:c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 ht="15" hidden="0" customHeight="1">
      <x:c r="A99" s="1" t="n">
        <x:v>0.5199991</x:v>
      </x:c>
      <x:c r="B99" s="1" t="n">
        <x:v>0.012571968139983828</x:v>
      </x:c>
      <x:c r="C99" s="1" t="n">
        <x:v>0.02901680177571709</x:v>
      </x:c>
      <x:c r="D99" s="1" t="n">
        <x:v>0.01422216094804558</x:v>
      </x:c>
      <x:c r="E99" s="1" t="n">
        <x:v>0.011274391567694891</x:v>
      </x:c>
      <x:c r="F99" s="1" t="n">
        <x:v>0.011574050232761852</x:v>
      </x:c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 ht="15" hidden="0" customHeight="1">
      <x:c r="A100" s="1" t="n">
        <x:v>0.5299995</x:v>
      </x:c>
      <x:c r="B100" s="1" t="n">
        <x:v>0.013056838979278057</x:v>
      </x:c>
      <x:c r="C100" s="1" t="n">
        <x:v>0.030377314817690824</x:v>
      </x:c>
      <x:c r="D100" s="1" t="n">
        <x:v>0.014891220034591802</x:v>
      </x:c>
      <x:c r="E100" s="1" t="n">
        <x:v>0.011831428209674104</x:v>
      </x:c>
      <x:c r="F100" s="1" t="n">
        <x:v>0.012155322282119796</x:v>
      </x:c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  <x:row r="101" ht="15" hidden="0" customHeight="1">
      <x:c r="A101" s="1" t="n">
        <x:v>0.5400026</x:v>
      </x:c>
      <x:c r="B101" s="1" t="n">
        <x:v>0.013565273238413519</x:v>
      </x:c>
      <x:c r="C101" s="1" t="n">
        <x:v>0.03183276908838364</x:v>
      </x:c>
      <x:c r="D101" s="1" t="n">
        <x:v>0.01569480395259232</x:v>
      </x:c>
      <x:c r="E101" s="1" t="n">
        <x:v>0.01239259580662068</x:v>
      </x:c>
      <x:c r="F101" s="1" t="n">
        <x:v>0.012714727149652215</x:v>
      </x:c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</x:row>
    <x:row r="102" ht="15" hidden="0" customHeight="1">
      <x:c r="A102" s="1" t="n">
        <x:v>0.5499977</x:v>
      </x:c>
      <x:c r="B102" s="1" t="n">
        <x:v>0.014085176556425832</x:v>
      </x:c>
      <x:c r="C102" s="1" t="n">
        <x:v>0.0331964369350071</x:v>
      </x:c>
      <x:c r="D102" s="1" t="n">
        <x:v>0.01637440263314774</x:v>
      </x:c>
      <x:c r="E102" s="1" t="n">
        <x:v>0.01295149845188823</x:v>
      </x:c>
      <x:c r="F102" s="1" t="n">
        <x:v>0.013285561464164541</x:v>
      </x:c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</x:row>
    <x:row r="103" ht="15" hidden="0" customHeight="1">
      <x:c r="A103" s="1" t="n">
        <x:v>0.5600001</x:v>
      </x:c>
      <x:c r="B103" s="1" t="n">
        <x:v>0.014569422093632536</x:v>
      </x:c>
      <x:c r="C103" s="1" t="n">
        <x:v>0.034693455403282496</x:v>
      </x:c>
      <x:c r="D103" s="1" t="n">
        <x:v>0.017120634183210966</x:v>
      </x:c>
      <x:c r="E103" s="1" t="n">
        <x:v>0.013488174578836524</x:v>
      </x:c>
      <x:c r="F103" s="1" t="n">
        <x:v>0.013841210275039992</x:v>
      </x:c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</x:row>
    <x:row r="104" ht="15" hidden="0" customHeight="1">
      <x:c r="A104" s="1" t="n">
        <x:v>0.5700006</x:v>
      </x:c>
      <x:c r="B104" s="1" t="n">
        <x:v>0.01498202244165699</x:v>
      </x:c>
      <x:c r="C104" s="1" t="n">
        <x:v>0.03608145627231645</x:v>
      </x:c>
      <x:c r="D104" s="1" t="n">
        <x:v>0.01789002454588232</x:v>
      </x:c>
      <x:c r="E104" s="1" t="n">
        <x:v>0.014060096805804296</x:v>
      </x:c>
      <x:c r="F104" s="1" t="n">
        <x:v>0.014423158556067251</x:v>
      </x:c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</x:row>
    <x:row r="105" ht="15" hidden="0" customHeight="1">
      <x:c r="A105" s="1" t="n">
        <x:v>0.580001</x:v>
      </x:c>
      <x:c r="B105" s="1" t="n">
        <x:v>0.015507219606754193</x:v>
      </x:c>
      <x:c r="C105" s="1" t="n">
        <x:v>0.03758963680726736</x:v>
      </x:c>
      <x:c r="D105" s="1" t="n">
        <x:v>0.018652044266300263</x:v>
      </x:c>
      <x:c r="E105" s="1" t="n">
        <x:v>0.0146077468429176</x:v>
      </x:c>
      <x:c r="F105" s="1" t="n">
        <x:v>0.015031682175814343</x:v>
      </x:c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</x:row>
    <x:row r="106" ht="15" hidden="0" customHeight="1">
      <x:c r="A106" s="1" t="n">
        <x:v>0.5900007</x:v>
      </x:c>
      <x:c r="B106" s="1" t="n">
        <x:v>0.016061050514501882</x:v>
      </x:c>
      <x:c r="C106" s="1" t="n">
        <x:v>0.03903830046705492</x:v>
      </x:c>
      <x:c r="D106" s="1" t="n">
        <x:v>0.019381426613054826</x:v>
      </x:c>
      <x:c r="E106" s="1" t="n">
        <x:v>0.015169712336645541</x:v>
      </x:c>
      <x:c r="F106" s="1" t="n">
        <x:v>0.015592176370512812</x:v>
      </x:c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</x:row>
    <x:row r="107" ht="15" hidden="0" customHeight="1">
      <x:c r="A107" s="1" t="n">
        <x:v>0.5999998</x:v>
      </x:c>
      <x:c r="B107" s="1" t="n">
        <x:v>0.01649064153689553</x:v>
      </x:c>
      <x:c r="C107" s="1" t="n">
        <x:v>0.04059492069312998</x:v>
      </x:c>
      <x:c r="D107" s="1" t="n">
        <x:v>0.02015787638164643</x:v>
      </x:c>
      <x:c r="E107" s="1" t="n">
        <x:v>0.015784347506207365</x:v>
      </x:c>
      <x:c r="F107" s="1" t="n">
        <x:v>0.01618100721863467</x:v>
      </x:c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</x:row>
    <x:row r="108" ht="15" hidden="0" customHeight="1">
      <x:c r="A108" s="1" t="n">
        <x:v>0.6100003</x:v>
      </x:c>
      <x:c r="B108" s="1" t="n">
        <x:v>0.016992439388581707</x:v>
      </x:c>
      <x:c r="C108" s="1" t="n">
        <x:v>0.04208568614053011</x:v>
      </x:c>
      <x:c r="D108" s="1" t="n">
        <x:v>0.020908253033783075</x:v>
      </x:c>
      <x:c r="E108" s="1" t="n">
        <x:v>0.016353287523219243</x:v>
      </x:c>
      <x:c r="F108" s="1" t="n">
        <x:v>0.016779712746781247</x:v>
      </x:c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</x:row>
    <x:row r="109" ht="15" hidden="0" customHeight="1">
      <x:c r="A109" s="1" t="n">
        <x:v>0.6199987</x:v>
      </x:c>
      <x:c r="B109" s="1" t="n">
        <x:v>0.01761380858062457</x:v>
      </x:c>
      <x:c r="C109" s="1" t="n">
        <x:v>0.04363867056034964</x:v>
      </x:c>
      <x:c r="D109" s="1" t="n">
        <x:v>0.02169849623077598</x:v>
      </x:c>
      <x:c r="E109" s="1" t="n">
        <x:v>0.01687016618995751</x:v>
      </x:c>
      <x:c r="F109" s="1" t="n">
        <x:v>0.017393088823904387</x:v>
      </x:c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</x:row>
    <x:row r="110" ht="15" hidden="0" customHeight="1">
      <x:c r="A110" s="1" t="n">
        <x:v>0.6300018</x:v>
      </x:c>
      <x:c r="B110" s="1" t="n">
        <x:v>0.018126117732107844</x:v>
      </x:c>
      <x:c r="C110" s="1" t="n">
        <x:v>0.04516795857753104</x:v>
      </x:c>
      <x:c r="D110" s="1" t="n">
        <x:v>0.022542187194435657</x:v>
      </x:c>
      <x:c r="E110" s="1" t="n">
        <x:v>0.017460256130518045</x:v>
      </x:c>
      <x:c r="F110" s="1" t="n">
        <x:v>0.017948009058818125</x:v>
      </x:c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</x:row>
    <x:row r="111" ht="15" hidden="0" customHeight="1">
      <x:c r="A111" s="1" t="n">
        <x:v>0.6400009</x:v>
      </x:c>
      <x:c r="B111" s="1" t="n">
        <x:v>0.018712670896155227</x:v>
      </x:c>
      <x:c r="C111" s="1" t="n">
        <x:v>0.04676310137338736</x:v>
      </x:c>
      <x:c r="D111" s="1" t="n">
        <x:v>0.023310106258077536</x:v>
      </x:c>
      <x:c r="E111" s="1" t="n">
        <x:v>0.01805811283230147</x:v>
      </x:c>
      <x:c r="F111" s="1" t="n">
        <x:v>0.018537292614333664</x:v>
      </x:c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</x:row>
    <x:row r="112" ht="15" hidden="0" customHeight="1">
      <x:c r="A112" s="1" t="n">
        <x:v>0.6500013</x:v>
      </x:c>
      <x:c r="B112" s="1" t="n">
        <x:v>0.019324575674248893</x:v>
      </x:c>
      <x:c r="C112" s="1" t="n">
        <x:v>0.048276700249956415</x:v>
      </x:c>
      <x:c r="D112" s="1" t="n">
        <x:v>0.02408939959498572</x:v>
      </x:c>
      <x:c r="E112" s="1" t="n">
        <x:v>0.018665363212503824</x:v>
      </x:c>
      <x:c r="F112" s="1" t="n">
        <x:v>0.019134215607117616</x:v>
      </x:c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</x:row>
    <x:row r="113" ht="15" hidden="0" customHeight="1">
      <x:c r="A113" s="1" t="n">
        <x:v>0.6600011</x:v>
      </x:c>
      <x:c r="B113" s="1" t="n">
        <x:v>0.019919461483761267</x:v>
      </x:c>
      <x:c r="C113" s="1" t="n">
        <x:v>0.049936665085745804</x:v>
      </x:c>
      <x:c r="D113" s="1" t="n">
        <x:v>0.02489895359174044</x:v>
      </x:c>
      <x:c r="E113" s="1" t="n">
        <x:v>0.0192326338710015</x:v>
      </x:c>
      <x:c r="F113" s="1" t="n">
        <x:v>0.019782039887478866</x:v>
      </x:c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</x:row>
    <x:row r="114" ht="15" hidden="0" customHeight="1">
      <x:c r="A114" s="1" t="n">
        <x:v>0.6699995</x:v>
      </x:c>
      <x:c r="B114" s="1" t="n">
        <x:v>0.020442112169769</x:v>
      </x:c>
      <x:c r="C114" s="1" t="n">
        <x:v>0.05164560720268934</x:v>
      </x:c>
      <x:c r="D114" s="1" t="n">
        <x:v>0.025690484175384134</x:v>
      </x:c>
      <x:c r="E114" s="1" t="n">
        <x:v>0.019818536268170463</x:v>
      </x:c>
      <x:c r="F114" s="1" t="n">
        <x:v>0.020371281001676247</x:v>
      </x:c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</x:row>
    <x:row r="115" ht="15" hidden="0" customHeight="1">
      <x:c r="A115" s="1" t="n">
        <x:v>0.6799966</x:v>
      </x:c>
      <x:c r="B115" s="1" t="n">
        <x:v>0.020971496878257775</x:v>
      </x:c>
      <x:c r="C115" s="1" t="n">
        <x:v>0.05307544106432087</x:v>
      </x:c>
      <x:c r="D115" s="1" t="n">
        <x:v>0.026519207500840143</x:v>
      </x:c>
      <x:c r="E115" s="1" t="n">
        <x:v>0.020448096634617788</x:v>
      </x:c>
      <x:c r="F115" s="1" t="n">
        <x:v>0.020955740394027842</x:v>
      </x:c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</x:row>
    <x:row r="116" ht="15" hidden="0" customHeight="1">
      <x:c r="A116" s="1" t="n">
        <x:v>0.6899997</x:v>
      </x:c>
      <x:c r="B116" s="1" t="n">
        <x:v>0.021533462371985716</x:v>
      </x:c>
      <x:c r="C116" s="1" t="n">
        <x:v>0.054825805907786455</x:v>
      </x:c>
      <x:c r="D116" s="1" t="n">
        <x:v>0.027377088011870592</x:v>
      </x:c>
      <x:c r="E116" s="1" t="n">
        <x:v>0.021010033834133628</x:v>
      </x:c>
      <x:c r="F116" s="1" t="n">
        <x:v>0.021635339074583267</x:v>
      </x:c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</x:row>
    <x:row r="117" ht="15" hidden="0" customHeight="1">
      <x:c r="A117" s="1" t="n">
        <x:v>0.7000014</x:v>
      </x:c>
      <x:c r="B117" s="1" t="n">
        <x:v>0.022187384055055645</x:v>
      </x:c>
      <x:c r="C117" s="1" t="n">
        <x:v>0.0562204700637712</x:v>
      </x:c>
      <x:c r="D117" s="1" t="n">
        <x:v>0.028180869989355848</x:v>
      </x:c>
      <x:c r="E117" s="1" t="n">
        <x:v>0.021664846784884863</x:v>
      </x:c>
      <x:c r="F117" s="1" t="n">
        <x:v>0.02224050983019589</x:v>
      </x:c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</x:row>
    <x:row r="118" ht="15" hidden="0" customHeight="1">
      <x:c r="A118" s="1" t="n">
        <x:v>0.7099978</x:v>
      </x:c>
      <x:c r="B118" s="1" t="n">
        <x:v>0.02277607343211697</x:v>
      </x:c>
      <x:c r="C118" s="1" t="n">
        <x:v>0.058207813080724105</x:v>
      </x:c>
      <x:c r="D118" s="1" t="n">
        <x:v>0.02898966004238373</x:v>
      </x:c>
      <x:c r="E118" s="1" t="n">
        <x:v>0.022305470188265338</x:v>
      </x:c>
      <x:c r="F118" s="1" t="n">
        <x:v>0.022826695169485902</x:v>
      </x:c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</x:row>
    <x:row r="119" ht="15" hidden="0" customHeight="1">
      <x:c r="A119" s="1" t="n">
        <x:v>0.7199996</x:v>
      </x:c>
      <x:c r="B119" s="1" t="n">
        <x:v>0.023352030413730948</x:v>
      </x:c>
      <x:c r="C119" s="1" t="n">
        <x:v>0.05970867956184581</x:v>
      </x:c>
      <x:c r="D119" s="1" t="n">
        <x:v>0.029894240150493852</x:v>
      </x:c>
      <x:c r="E119" s="1" t="n">
        <x:v>0.02290901402668191</x:v>
      </x:c>
      <x:c r="F119" s="1" t="n">
        <x:v>0.02347618880836136</x:v>
      </x:c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</x:row>
    <x:row r="120" ht="15" hidden="0" customHeight="1">
      <x:c r="A120" s="1" t="n">
        <x:v>0.7299994</x:v>
      </x:c>
      <x:c r="B120" s="1" t="n">
        <x:v>0.023977077853347496</x:v>
      </x:c>
      <x:c r="C120" s="1" t="n">
        <x:v>0.06155641893627153</x:v>
      </x:c>
      <x:c r="D120" s="1" t="n">
        <x:v>0.030792156971653193</x:v>
      </x:c>
      <x:c r="E120" s="1" t="n">
        <x:v>0.023522333515380838</x:v>
      </x:c>
      <x:c r="F120" s="1" t="n">
        <x:v>0.0241604701810202</x:v>
      </x:c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</x:row>
    <x:row r="121" ht="15" hidden="0" customHeight="1">
      <x:c r="A121" s="1" t="n">
        <x:v>0.7400011</x:v>
      </x:c>
      <x:c r="B121" s="1" t="n">
        <x:v>0.024628509645752163</x:v>
      </x:c>
      <x:c r="C121" s="1" t="n">
        <x:v>0.06303912053322168</x:v>
      </x:c>
      <x:c r="D121" s="1" t="n">
        <x:v>0.03159790539687976</x:v>
      </x:c>
      <x:c r="E121" s="1" t="n">
        <x:v>0.024179593915479178</x:v>
      </x:c>
      <x:c r="F121" s="1" t="n">
        <x:v>0.024794104914010677</x:v>
      </x:c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</x:row>
    <x:row r="122" ht="15" hidden="0" customHeight="1">
      <x:c r="A122" s="1" t="n">
        <x:v>0.7500009</x:v>
      </x:c>
      <x:c r="B122" s="1" t="n">
        <x:v>0.025029848897358736</x:v>
      </x:c>
      <x:c r="C122" s="1" t="n">
        <x:v>0.06498816733409016</x:v>
      </x:c>
      <x:c r="D122" s="1" t="n">
        <x:v>0.03243631948998181</x:v>
      </x:c>
      <x:c r="E122" s="1" t="n">
        <x:v>0.024779516094746285</x:v>
      </x:c>
      <x:c r="F122" s="1" t="n">
        <x:v>0.025285844173293447</x:v>
      </x:c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</x:row>
    <x:row r="123" ht="15" hidden="0" customHeight="1">
      <x:c r="A123" s="1" t="n">
        <x:v>0.7600006</x:v>
      </x:c>
      <x:c r="B123" s="1" t="n">
        <x:v>0.02569938898551075</x:v>
      </x:c>
      <x:c r="C123" s="1" t="n">
        <x:v>0.06652846179978049</x:v>
      </x:c>
      <x:c r="D123" s="1" t="n">
        <x:v>0.03332139073884538</x:v>
      </x:c>
      <x:c r="E123" s="1" t="n">
        <x:v>0.025424496806790955</x:v>
      </x:c>
      <x:c r="F123" s="1" t="n">
        <x:v>0.025968597658498602</x:v>
      </x:c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</x:row>
    <x:row r="124" ht="15" hidden="0" customHeight="1">
      <x:c r="A124" s="1" t="n">
        <x:v>0.7699977</x:v>
      </x:c>
      <x:c r="B124" s="1" t="n">
        <x:v>0.02629140293249444</x:v>
      </x:c>
      <x:c r="C124" s="1" t="n">
        <x:v>0.06842993188299404</x:v>
      </x:c>
      <x:c r="D124" s="1" t="n">
        <x:v>0.034201170970045276</x:v>
      </x:c>
      <x:c r="E124" s="1" t="n">
        <x:v>0.026065049474641167</x:v>
      </x:c>
      <x:c r="F124" s="1" t="n">
        <x:v>0.026690340567984753</x:v>
      </x:c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</x:row>
    <x:row r="125" ht="15" hidden="0" customHeight="1">
      <x:c r="A125" s="1" t="n">
        <x:v>0.7800008</x:v>
      </x:c>
      <x:c r="B125" s="1" t="n">
        <x:v>0.026956033974846194</x:v>
      </x:c>
      <x:c r="C125" s="1" t="n">
        <x:v>0.0700507658234419</x:v>
      </x:c>
      <x:c r="D125" s="1" t="n">
        <x:v>0.03506879883714597</x:v>
      </x:c>
      <x:c r="E125" s="1" t="n">
        <x:v>0.026732085525021865</x:v>
      </x:c>
      <x:c r="F125" s="1" t="n">
        <x:v>0.027406000221868284</x:v>
      </x:c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</x:row>
    <x:row r="126" ht="15" hidden="0" customHeight="1">
      <x:c r="A126" s="1" t="n">
        <x:v>0.7899992</x:v>
      </x:c>
      <x:c r="B126" s="1" t="n">
        <x:v>0.027631812936767412</x:v>
      </x:c>
      <x:c r="C126" s="1" t="n">
        <x:v>0.07183378218767691</x:v>
      </x:c>
      <x:c r="D126" s="1" t="n">
        <x:v>0.035974142888982936</x:v>
      </x:c>
      <x:c r="E126" s="1" t="n">
        <x:v>0.027418163580149382</x:v>
      </x:c>
      <x:c r="F126" s="1" t="n">
        <x:v>0.027965914385218595</x:v>
      </x:c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</x:row>
    <x:row r="127" ht="15" hidden="0" customHeight="1">
      <x:c r="A127" s="1" t="n">
        <x:v>0.7999997</x:v>
      </x:c>
      <x:c r="B127" s="1" t="n">
        <x:v>0.02822197361285821</x:v>
      </x:c>
      <x:c r="C127" s="1" t="str"/>
      <x:c r="D127" s="1" t="n">
        <x:v>0.03696231824675795</x:v>
      </x:c>
      <x:c r="E127" s="1" t="n">
        <x:v>0.02797594153048575</x:v>
      </x:c>
      <x:c r="F127" s="1" t="n">
        <x:v>0.028600977975920393</x:v>
      </x:c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</x:row>
    <x:row r="128" ht="15" hidden="0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</x:row>
    <x:row r="129" ht="15" hidden="0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</x:row>
    <x:row r="130" ht="15" hidden="0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</x:row>
    <x:row r="131" ht="15" hidden="0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</x:row>
    <x:row r="132" ht="15" hidden="0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</x:row>
    <x:row r="133" ht="15" hidden="0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</x:row>
    <x:row r="134" ht="15" hidden="0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</x:row>
    <x:row r="135" ht="15" hidden="0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</x:row>
    <x:row r="136" ht="15" hidden="0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</x:row>
    <x:row r="137" ht="15" hidden="0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</x:row>
    <x:row r="138" ht="15" hidden="0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</x:row>
    <x:row r="139" ht="15" hidden="0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</x:row>
    <x:row r="140" ht="15" hidden="0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</x:row>
    <x:row r="141" ht="15" hidden="0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</x:row>
    <x:row r="142" ht="15" hidden="0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</x:row>
    <x:row r="143" ht="15" hidden="0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</x:row>
    <x:row r="144" ht="15" hidden="0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</x:row>
    <x:row r="145" ht="15" hidden="0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</x:row>
    <x:row r="146" ht="15" hidden="0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</x:row>
    <x:row r="147" ht="15" hidden="0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</x:row>
    <x:row r="148" ht="15" hidden="0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</x:row>
    <x:row r="149" ht="15" hidden="0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</x:row>
    <x:row r="150" ht="15" hidden="0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</x:row>
    <x:row r="151" ht="15" hidden="0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</x:row>
    <x:row r="152" ht="15" hidden="0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</x:row>
    <x:row r="153" ht="15" hidden="0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</x:row>
    <x:row r="154" ht="15" hidden="0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</x:row>
    <x:row r="155" ht="15" hidden="0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</x:row>
    <x:row r="156" ht="15" hidden="0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</x:row>
    <x:row r="157" ht="15" hidden="0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</x:row>
    <x:row r="158" ht="15" hidden="0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</x:row>
    <x:row r="159" ht="15" hidden="0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</x:row>
    <x:row r="160" ht="15" hidden="0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</x:row>
    <x:row r="161" ht="15" hidden="0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</x:row>
    <x:row r="162" ht="15" hidden="0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</x:row>
    <x:row r="163" ht="15" hidden="0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</x:row>
    <x:row r="164" ht="15" hidden="0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</x:row>
    <x:row r="165" ht="15" hidden="0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</x:row>
    <x:row r="166" ht="15" hidden="0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</x:row>
    <x:row r="167" ht="15" hidden="0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</x:row>
    <x:row r="168" ht="15" hidden="0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</x:row>
    <x:row r="169" ht="15" hidden="0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</x:row>
    <x:row r="170" ht="15" hidden="0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</x:row>
    <x:row r="171" ht="15" hidden="0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</x:row>
    <x:row r="172" ht="15" hidden="0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</x:row>
    <x:row r="173" ht="15" hidden="0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</x:row>
    <x:row r="174" ht="15" hidden="0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</x:row>
    <x:row r="175" ht="15" hidden="0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</x:row>
    <x:row r="176" ht="15" hidden="0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</x:row>
    <x:row r="177" ht="15" hidden="0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</x:row>
    <x:row r="178" ht="15" hidden="0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</x:row>
    <x:row r="179" ht="15" hidden="0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</x:row>
    <x:row r="180" ht="15" hidden="0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</x:row>
    <x:row r="181" ht="15" hidden="0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</x:row>
    <x:row r="182" ht="15" hidden="0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</x:row>
    <x:row r="183" ht="15" hidden="0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</x:row>
    <x:row r="184" ht="15" hidden="0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</x:row>
    <x:row r="185" ht="15" hidden="0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</x:row>
    <x:row r="186" ht="15" hidden="0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</x:row>
    <x:row r="187" ht="15" hidden="0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</x:row>
    <x:row r="188" ht="15" hidden="0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</x:row>
    <x:row r="189" ht="15" hidden="0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</x:row>
    <x:row r="190" ht="15" hidden="0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</x:row>
    <x:row r="191" ht="15" hidden="0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</x:row>
    <x:row r="192" ht="15" hidden="0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</x:row>
    <x:row r="193" ht="15" hidden="0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</x:row>
    <x:row r="194" ht="15" hidden="0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</x:row>
    <x:row r="195" ht="15" hidden="0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</x:row>
    <x:row r="196" ht="15" hidden="0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</x:row>
    <x:row r="197" ht="15" hidden="0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</x:row>
    <x:row r="198" ht="15" hidden="0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</x:row>
    <x:row r="199" ht="15" hidden="0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</x:row>
    <x:row r="200" ht="15" hidden="0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</x:row>
    <x:row r="201" ht="15" hidden="0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</x:row>
    <x:row r="202" ht="15" hidden="0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</x:row>
    <x:row r="203" ht="15" hidden="0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</x:row>
    <x:row r="204" ht="15" hidden="0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</x:row>
    <x:row r="205" ht="15" hidden="0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</x:row>
    <x:row r="206" ht="15" hidden="0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</x:row>
    <x:row r="207" ht="15" hidden="0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</x:row>
    <x:row r="208" ht="15" hidden="0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</x:row>
    <x:row r="209" ht="15" hidden="0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</x:row>
    <x:row r="210" ht="15" hidden="0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</x:row>
    <x:row r="211" ht="15" hidden="0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</x:row>
    <x:row r="212" ht="15" hidden="0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</x:row>
    <x:row r="213" ht="15" hidden="0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</x:row>
    <x:row r="214" ht="15" hidden="0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</x:row>
    <x:row r="215" ht="15" hidden="0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</x:row>
    <x:row r="216" ht="15" hidden="0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</x:row>
    <x:row r="217" ht="15" hidden="0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</x:row>
    <x:row r="218" ht="15" hidden="0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</x:row>
    <x:row r="219" ht="15" hidden="0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</x:row>
    <x:row r="220" ht="15" hidden="0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</x:row>
    <x:row r="221" ht="15" hidden="0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</x:row>
    <x:row r="222" ht="15" hidden="0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</x:row>
    <x:row r="223" ht="15" hidden="0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</x:row>
    <x:row r="224" ht="15" hidden="0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</x:row>
    <x:row r="225" ht="15" hidden="0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</x:row>
    <x:row r="226" ht="15" hidden="0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</x:row>
    <x:row r="227" ht="15" hidden="0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</x:row>
    <x:row r="228" ht="15" hidden="0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</x:row>
    <x:row r="229" ht="15" hidden="0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</x:row>
    <x:row r="230" ht="15" hidden="0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</x:row>
    <x:row r="231" ht="15" hidden="0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</x:row>
    <x:row r="232" ht="15" hidden="0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</x:row>
    <x:row r="233" ht="15" hidden="0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</x:row>
    <x:row r="234" ht="15" hidden="0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</x:row>
    <x:row r="235" ht="15" hidden="0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</x:row>
    <x:row r="236" ht="15" hidden="0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</x:row>
    <x:row r="237" ht="15" hidden="0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</x:row>
    <x:row r="238" ht="15" hidden="0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</x:row>
    <x:row r="239" ht="15" hidden="0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</x:row>
    <x:row r="240" ht="15" hidden="0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</x:row>
  </x:sheetData>
  <x:pageMargins left="0.7" right="0.7" top="0.75" bottom="0.75" header="0.3" footer="0.3"/>
  <x:drawing xmlns:r="http://schemas.openxmlformats.org/officeDocument/2006/relationships" r:id="R431239eb69844221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.75" hidden="0" customWidth="1"/>
    <x:col min="2" max="2" width="10.630000114440918" hidden="0" customWidth="1"/>
    <x:col min="3" max="3" width="10.880000114440918" hidden="0" customWidth="1"/>
    <x:col min="4" max="4" width="10.630000114440918" hidden="0" customWidth="1"/>
    <x:col min="5" max="5" width="10.630000114440918" hidden="0" customWidth="1"/>
    <x:col min="6" max="6" width="10.630000114440918" hidden="0" customWidth="1"/>
  </x:cols>
  <x:sheetData>
    <x:row r="1" ht="15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19.200000762939453" hidden="0" customHeight="1">
      <x:c r="A2" s="2" t="str">
        <x:v>I-V curves: gap label 25 um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15" hidden="0" customHeight="1">
      <x:c r="A3" s="3" t="str">
        <x:v>Rows 1-5 compared in the -0.4 V to +0.8 V display window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15" hidden="0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</x:row>
    <x:row r="5" ht="15" hidden="0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15" hidden="0" customHeight="1">
      <x:c r="A6" s="9" t="str">
        <x:v>Voltage (V)</x:v>
      </x:c>
      <x:c r="B6" s="9" t="str">
        <x:v>Row 1</x:v>
      </x:c>
      <x:c r="C6" s="9" t="str">
        <x:v>Row 2</x:v>
      </x:c>
      <x:c r="D6" s="9" t="str">
        <x:v>Row 3</x:v>
      </x:c>
      <x:c r="E6" s="9" t="str">
        <x:v>Row 4</x:v>
      </x:c>
      <x:c r="F6" s="9" t="str">
        <x:v>Row 5</x:v>
      </x:c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15" hidden="0" customHeight="1">
      <x:c r="A7" s="1" t="n">
        <x:v>-0.3899996</x:v>
      </x:c>
      <x:c r="B7" s="1" t="n">
        <x:v>-6.179930054711769e-7</x:v>
      </x:c>
      <x:c r="C7" s="1" t="n">
        <x:v>-0.0000018508043030655167</x:v>
      </x:c>
      <x:c r="D7" s="1" t="n">
        <x:v>-4.729585223995735e-7</x:v>
      </x:c>
      <x:c r="E7" s="1" t="n">
        <x:v>-9.175351364866315e-7</x:v>
      </x:c>
      <x:c r="F7" s="1" t="n">
        <x:v>-0.0000025382143551812267</x:v>
      </x:c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15" hidden="0" customHeight="1">
      <x:c r="A8" s="1" t="n">
        <x:v>-0.3799992</x:v>
      </x:c>
      <x:c r="B8" s="1" t="n">
        <x:v>-6.999719482695555e-7</x:v>
      </x:c>
      <x:c r="C8" s="1" t="n">
        <x:v>-0.000001869723227989676</x:v>
      </x:c>
      <x:c r="D8" s="1" t="n">
        <x:v>-5.155246180327963e-7</x:v>
      </x:c>
      <x:c r="E8" s="1" t="n">
        <x:v>-8.465917852356541e-7</x:v>
      </x:c>
      <x:c r="F8" s="1" t="n">
        <x:v>-0.000002514566052703679</x:v>
      </x:c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15" hidden="0" customHeight="1">
      <x:c r="A9" s="1" t="n">
        <x:v>-0.3699994</x:v>
      </x:c>
      <x:c r="B9" s="1" t="n">
        <x:v>-5.896157498534222e-7</x:v>
      </x:c>
      <x:c r="C9" s="1" t="n">
        <x:v>-0.000001773555445175829</x:v>
      </x:c>
      <x:c r="D9" s="1" t="n">
        <x:v>-4.571934118277233e-7</x:v>
      </x:c>
      <x:c r="E9" s="1" t="n">
        <x:v>-7.69342502932785e-7</x:v>
      </x:c>
      <x:c r="F9" s="1" t="n">
        <x:v>-0.0000024278570249966093</x:v>
      </x:c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15" hidden="0" customHeight="1">
      <x:c r="A10" s="1" t="n">
        <x:v>-0.3599997</x:v>
      </x:c>
      <x:c r="B10" s="1" t="n">
        <x:v>-4.808359634647314e-7</x:v>
      </x:c>
      <x:c r="C10" s="1" t="n">
        <x:v>-0.0000018019331252067655</x:v>
      </x:c>
      <x:c r="D10" s="1" t="n">
        <x:v>-5.076419920113409e-7</x:v>
      </x:c>
      <x:c r="E10" s="1" t="n">
        <x:v>-7.251998538010589e-7</x:v>
      </x:c>
      <x:c r="F10" s="1" t="n">
        <x:v>-0.0000024057861248439277</x:v>
      </x:c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15" hidden="0" customHeight="1">
      <x:c r="A11" s="1" t="n">
        <x:v>-0.3500006</x:v>
      </x:c>
      <x:c r="B11" s="1" t="n">
        <x:v>-4.966010740365818e-7</x:v>
      </x:c>
      <x:c r="C11" s="1" t="n">
        <x:v>-0.0000017845901878968672</x:v>
      </x:c>
      <x:c r="D11" s="1" t="n">
        <x:v>-5.549374651979523e-7</x:v>
      </x:c>
      <x:c r="E11" s="1" t="n">
        <x:v>-7.567303578868804e-7</x:v>
      </x:c>
      <x:c r="F11" s="1" t="n">
        <x:v>-0.0000023632203121528256</x:v>
      </x:c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15" hidden="0" customHeight="1">
      <x:c r="A12" s="1" t="n">
        <x:v>-0.3399995</x:v>
      </x:c>
      <x:c r="B12" s="1" t="n">
        <x:v>-5.738504978105115e-7</x:v>
      </x:c>
      <x:c r="C12" s="1" t="n">
        <x:v>-0.0000016616221273769504</x:v>
      </x:c>
      <x:c r="D12" s="1" t="n">
        <x:v>-5.013359194883886e-7</x:v>
      </x:c>
      <x:c r="E12" s="1" t="n">
        <x:v>-7.520006973913709e-7</x:v>
      </x:c>
      <x:c r="F12" s="1" t="n">
        <x:v>-0.00000232853726695424</x:v>
      </x:c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15" hidden="0" customHeight="1">
      <x:c r="A13" s="1" t="n">
        <x:v>-0.3300011</x:v>
      </x:c>
      <x:c r="B13" s="1" t="n">
        <x:v>-5.896157498534222e-7</x:v>
      </x:c>
      <x:c r="C13" s="1" t="n">
        <x:v>-0.0000017152240974996956</x:v>
      </x:c>
      <x:c r="D13" s="1" t="n">
        <x:v>-4.918767399684301e-7</x:v>
      </x:c>
      <x:c r="E13" s="1" t="n">
        <x:v>-7.977197585505395e-7</x:v>
      </x:c>
      <x:c r="F13" s="1" t="n">
        <x:v>-0.000002336420034446756</x:v>
      </x:c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15" hidden="0" customHeight="1">
      <x:c r="A14" s="1" t="n">
        <x:v>-0.32</x:v>
      </x:c>
      <x:c r="B14" s="1" t="n">
        <x:v>-5.344376506453555e-7</x:v>
      </x:c>
      <x:c r="C14" s="1" t="n">
        <x:v>-0.0000016442806047776574</x:v>
      </x:c>
      <x:c r="D14" s="1" t="n">
        <x:v>-5.02912472986892e-7</x:v>
      </x:c>
      <x:c r="E14" s="1" t="n">
        <x:v>-7.646128424372754e-7</x:v>
      </x:c>
      <x:c r="F14" s="1" t="n">
        <x:v>-0.000002331690656893368</x:v>
      </x:c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15" hidden="0" customHeight="1">
      <x:c r="A15" s="1" t="n">
        <x:v>-0.3099995</x:v>
      </x:c>
      <x:c r="B15" s="1" t="n">
        <x:v>-6.132634864467278e-7</x:v>
      </x:c>
      <x:c r="C15" s="1" t="n">
        <x:v>-0.0000016458565923919186</x:v>
      </x:c>
      <x:c r="D15" s="1" t="n">
        <x:v>-4.4615767880926154e-7</x:v>
      </x:c>
      <x:c r="E15" s="1" t="n">
        <x:v>-7.315059263240112e-7</x:v>
      </x:c>
      <x:c r="F15" s="1" t="n">
        <x:v>-0.000002268629931663845</x:v>
      </x:c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15" hidden="0" customHeight="1">
      <x:c r="A16" s="1" t="n">
        <x:v>-0.2999998</x:v>
      </x:c>
      <x:c r="B16" s="1" t="n">
        <x:v>-5.155194330764989e-7</x:v>
      </x:c>
      <x:c r="C16" s="1" t="n">
        <x:v>-0.000001631668459731753</x:v>
      </x:c>
      <x:c r="D16" s="1" t="n">
        <x:v>-4.571934118277233e-7</x:v>
      </x:c>
      <x:c r="E16" s="1" t="n">
        <x:v>-7.567303578868804e-7</x:v>
      </x:c>
      <x:c r="F16" s="1" t="n">
        <x:v>-0.0000021724621488499987</x:v>
      </x:c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15" hidden="0" customHeight="1">
      <x:c r="A17" s="1" t="n">
        <x:v>-0.2900007</x:v>
      </x:c>
      <x:c r="B17" s="1" t="n">
        <x:v>-4.1619868473670624e-7</x:v>
      </x:c>
      <x:c r="C17" s="1" t="n">
        <x:v>-0.0000015749145143804858</x:v>
      </x:c>
      <x:c r="D17" s="1" t="n">
        <x:v>-4.3354553376335717e-7</x:v>
      </x:c>
      <x:c r="E17" s="1" t="n">
        <x:v>-7.614598769113296e-7</x:v>
      </x:c>
      <x:c r="F17" s="1" t="n">
        <x:v>-0.000002237098861693782</x:v>
      </x:c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15" hidden="0" customHeight="1">
      <x:c r="A18" s="1" t="n">
        <x:v>-0.2800003</x:v>
      </x:c>
      <x:c r="B18" s="1" t="n">
        <x:v>-4.5403511987441947e-7</x:v>
      </x:c>
      <x:c r="C18" s="1" t="n">
        <x:v>-0.000001549690224288677</x:v>
      </x:c>
      <x:c r="D18" s="1" t="n">
        <x:v>-4.603463773536692e-7</x:v>
      </x:c>
      <x:c r="E18" s="1" t="n">
        <x:v>-6.715983080914955e-7</x:v>
      </x:c>
      <x:c r="F18" s="1" t="n">
        <x:v>-0.0000021645793813574827</x:v>
      </x:c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15" hidden="0" customHeight="1">
      <x:c r="A19" s="1" t="n">
        <x:v>-0.2699998</x:v>
      </x:c>
      <x:c r="B19" s="1" t="n">
        <x:v>-5.139428795779957e-7</x:v>
      </x:c>
      <x:c r="C19" s="1" t="n">
        <x:v>-0.0000015118537891509638</x:v>
      </x:c>
      <x:c r="D19" s="1" t="n">
        <x:v>-5.02912472986892e-7</x:v>
      </x:c>
      <x:c r="E19" s="1" t="n">
        <x:v>-6.794809341129509e-7</x:v>
      </x:c>
      <x:c r="F19" s="1" t="n">
        <x:v>-0.0000021172841911129925</x:v>
      </x:c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15" hidden="0" customHeight="1">
      <x:c r="A20" s="1" t="n">
        <x:v>-0.2600007</x:v>
      </x:c>
      <x:c r="B20" s="1" t="n">
        <x:v>-5.170958451039415e-7</x:v>
      </x:c>
      <x:c r="C20" s="1" t="n">
        <x:v>-0.0000015260419218111293</x:v>
      </x:c>
      <x:c r="D20" s="1" t="n">
        <x:v>-4.6822900337512457e-7</x:v>
      </x:c>
      <x:c r="E20" s="1" t="n">
        <x:v>-6.95246044684801e-7</x:v>
      </x:c>
      <x:c r="F20" s="1" t="n">
        <x:v>-0.000002069987586157897</x:v>
      </x:c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15" hidden="0" customHeight="1">
      <x:c r="A21" s="1" t="n">
        <x:v>-0.2500003</x:v>
      </x:c>
      <x:c r="B21" s="1" t="n">
        <x:v>-5.21825505599451e-7</x:v>
      </x:c>
      <x:c r="C21" s="1" t="n">
        <x:v>-0.0000014614037942567409</x:v>
      </x:c>
      <x:c r="D21" s="1" t="n">
        <x:v>-4.5561685832922004e-7</x:v>
      </x:c>
      <x:c r="E21" s="1" t="n">
        <x:v>-6.95246044684801e-7</x:v>
      </x:c>
      <x:c r="F21" s="1" t="n">
        <x:v>-0.000002041611320837566</x:v>
      </x:c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15" hidden="0" customHeight="1">
      <x:c r="A22" s="1" t="n">
        <x:v>-0.2400006</x:v>
      </x:c>
      <x:c r="B22" s="1" t="n">
        <x:v>-5.107897725809893e-7</x:v>
      </x:c>
      <x:c r="C22" s="1" t="n">
        <x:v>-0.0000014487916492108363</x:v>
      </x:c>
      <x:c r="D22" s="1" t="n">
        <x:v>-3.358014803931281e-7</x:v>
      </x:c>
      <x:c r="E22" s="1" t="n">
        <x:v>-6.321853194552791e-7</x:v>
      </x:c>
      <x:c r="F22" s="1" t="n">
        <x:v>-0.000002051070075944343</x:v>
      </x:c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15" hidden="0" customHeight="1">
      <x:c r="A23" s="1" t="n">
        <x:v>-0.2300015</x:v>
      </x:c>
      <x:c r="B23" s="1" t="n">
        <x:v>-4.398464213300119e-7</x:v>
      </x:c>
      <x:c r="C23" s="1" t="n">
        <x:v>-0.0000013920377038595693</x:v>
      </x:c>
      <x:c r="D23" s="1" t="n">
        <x:v>-4.666524498766213e-7</x:v>
      </x:c>
      <x:c r="E23" s="1" t="n">
        <x:v>-5.943488843175657e-7</x:v>
      </x:c>
      <x:c r="F23" s="1" t="n">
        <x:v>-0.0000019233712231604327</x:v>
      </x:c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15" hidden="0" customHeight="1">
      <x:c r="A24" s="1" t="n">
        <x:v>-0.2199997</x:v>
      </x:c>
      <x:c r="B24" s="1" t="n">
        <x:v>-2.869241272806557e-7</x:v>
      </x:c>
      <x:c r="C24" s="1" t="n">
        <x:v>-0.0000013352823437976966</x:v>
      </x:c>
      <x:c r="D24" s="1" t="n">
        <x:v>-4.666524498766213e-7</x:v>
      </x:c>
      <x:c r="E24" s="1" t="n">
        <x:v>-6.652922355685432e-7</x:v>
      </x:c>
      <x:c r="F24" s="1" t="n">
        <x:v>-0.0000019690904257906614</x:v>
      </x:c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15" hidden="0" customHeight="1">
      <x:c r="A25" s="1" t="n">
        <x:v>-0.21</x:v>
      </x:c>
      <x:c r="B25" s="1" t="n">
        <x:v>-3.893978411463942e-7</x:v>
      </x:c>
      <x:c r="C25" s="1" t="n">
        <x:v>-0.000001489781474287677</x:v>
      </x:c>
      <x:c r="D25" s="1" t="n">
        <x:v>-2.427868045762877e-7</x:v>
      </x:c>
      <x:c r="E25" s="1" t="n">
        <x:v>-6.558330560485846e-7</x:v>
      </x:c>
      <x:c r="F25" s="1" t="n">
        <x:v>-0.000001909183090500267</x:v>
      </x:c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15" hidden="0" customHeight="1">
      <x:c r="A26" s="1" t="n">
        <x:v>-0.2000002</x:v>
      </x:c>
      <x:c r="B26" s="1" t="n">
        <x:v>-4.824125169632347e-7</x:v>
      </x:c>
      <x:c r="C26" s="1" t="n">
        <x:v>-0.00000137311877893541</x:v>
      </x:c>
      <x:c r="D26" s="1" t="n">
        <x:v>-3.121537437998225e-7</x:v>
      </x:c>
      <x:c r="E26" s="1" t="n">
        <x:v>-5.69124594225757e-7</x:v>
      </x:c>
      <x:c r="F26" s="1" t="n">
        <x:v>-0.0000019549022931304963</x:v>
      </x:c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15" hidden="0" customHeight="1">
      <x:c r="A27" s="1" t="n">
        <x:v>-0.1900004</x:v>
      </x:c>
      <x:c r="B27" s="1" t="n">
        <x:v>-3.972804671678496e-7</x:v>
      </x:c>
      <x:c r="C27" s="1" t="n">
        <x:v>-0.0000012580334859080092</x:v>
      </x:c>
      <x:c r="D27" s="1" t="n">
        <x:v>-4.981828124913824e-7</x:v>
      </x:c>
      <x:c r="E27" s="1" t="n">
        <x:v>-5.975019913145721e-7</x:v>
      </x:c>
      <x:c r="F27" s="1" t="n">
        <x:v>-0.0000018587345103166492</x:v>
      </x:c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15" hidden="0" customHeight="1">
      <x:c r="A28" s="1" t="n">
        <x:v>-0.1800007</x:v>
      </x:c>
      <x:c r="B28" s="1" t="n">
        <x:v>-3.941275016419038e-7</x:v>
      </x:c>
      <x:c r="C28" s="1" t="n">
        <x:v>-0.0000013100580537058882</x:v>
      </x:c>
      <x:c r="D28" s="1" t="n">
        <x:v>-4.713819689010704e-7</x:v>
      </x:c>
      <x:c r="E28" s="1" t="n">
        <x:v>-5.864662582961103e-7</x:v>
      </x:c>
      <x:c r="F28" s="1" t="n">
        <x:v>-0.0000017956737850871272</x:v>
      </x:c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15" hidden="0" customHeight="1">
      <x:c r="A29" s="1" t="n">
        <x:v>-0.1699996</x:v>
      </x:c>
      <x:c r="B29" s="1" t="n">
        <x:v>-4.4142297482851504e-7</x:v>
      </x:c>
      <x:c r="C29" s="1" t="n">
        <x:v>-0.0000014141086040122507</x:v>
      </x:c>
      <x:c r="D29" s="1" t="n">
        <x:v>-3.830969535797394e-7</x:v>
      </x:c>
      <x:c r="E29" s="1" t="n">
        <x:v>-5.328647125865469e-7</x:v>
      </x:c>
      <x:c r="F29" s="1" t="n">
        <x:v>-0.00000176572011744193</x:v>
      </x:c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15" hidden="0" customHeight="1">
      <x:c r="A30" s="1" t="n">
        <x:v>-0.1600005</x:v>
      </x:c>
      <x:c r="B30" s="1" t="n">
        <x:v>-3.878214291189515e-7</x:v>
      </x:c>
      <x:c r="C30" s="1" t="n">
        <x:v>-0.0000011193000318741213</x:v>
      </x:c>
      <x:c r="D30" s="1" t="n">
        <x:v>-2.8062323971400095e-7</x:v>
      </x:c>
      <x:c r="E30" s="1" t="n">
        <x:v>-5.612419682043016e-7</x:v>
      </x:c>
      <x:c r="F30" s="1" t="n">
        <x:v>-0.000001759413337563675</x:v>
      </x:c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15" hidden="0" customHeight="1">
      <x:c r="A31" s="1" t="n">
        <x:v>-0.1500001</x:v>
      </x:c>
      <x:c r="B31" s="1" t="n">
        <x:v>-2.4278161961999027e-7</x:v>
      </x:c>
      <x:c r="C31" s="1" t="n">
        <x:v>-0.000001054662753146096</x:v>
      </x:c>
      <x:c r="D31" s="1" t="n">
        <x:v>-4.0043875912115345e-7</x:v>
      </x:c>
      <x:c r="E31" s="1" t="n">
        <x:v>-5.439003041339481e-7</x:v>
      </x:c>
      <x:c r="F31" s="1" t="n">
        <x:v>-0.0000017010819898875413</x:v>
      </x:c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15" hidden="0" customHeight="1">
      <x:c r="A32" s="1" t="n">
        <x:v>-0.1400003</x:v>
      </x:c>
      <x:c r="B32" s="1" t="n">
        <x:v>-2.5539376466589464e-7</x:v>
      </x:c>
      <x:c r="C32" s="1" t="n">
        <x:v>-0.0000011855140055717102</x:v>
      </x:c>
      <x:c r="D32" s="1" t="n">
        <x:v>-2.9954159875391816e-7</x:v>
      </x:c>
      <x:c r="E32" s="1" t="n">
        <x:v>-5.013343499717859e-7</x:v>
      </x:c>
      <x:c r="F32" s="1" t="n">
        <x:v>-0.0000017231543047508281</x:v>
      </x:c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15" hidden="0" customHeight="1">
      <x:c r="A33" s="1" t="n">
        <x:v>-0.1300006</x:v>
      </x:c>
      <x:c r="B33" s="1" t="n">
        <x:v>-3.121485588435251e-7</x:v>
      </x:c>
      <x:c r="C33" s="1" t="n">
        <x:v>-0.0000011303356234215225</x:v>
      </x:c>
      <x:c r="D33" s="1" t="n">
        <x:v>-1.7342000682381341e-7</x:v>
      </x:c>
      <x:c r="E33" s="1" t="n">
        <x:v>-5.092168345221807e-7</x:v>
      </x:c>
      <x:c r="F33" s="1" t="n">
        <x:v>-0.000001694776624719892</x:v>
      </x:c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15" hidden="0" customHeight="1">
      <x:c r="A34" s="1" t="n">
        <x:v>-0.1200008</x:v>
      </x:c>
      <x:c r="B34" s="1" t="n">
        <x:v>-3.121485588435251e-7</x:v>
      </x:c>
      <x:c r="C34" s="1" t="n">
        <x:v>-0.000001049933234121647</x:v>
      </x:c>
      <x:c r="D34" s="1" t="n">
        <x:v>-3.1688326282427147e-7</x:v>
      </x:c>
      <x:c r="E34" s="1" t="n">
        <x:v>-4.729569528829708e-7</x:v>
      </x:c>
      <x:c r="F34" s="1" t="n">
        <x:v>-0.0000015765379417533638</x:v>
      </x:c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15" hidden="0" customHeight="1">
      <x:c r="A35" s="1" t="n">
        <x:v>-0.1099997</x:v>
      </x:c>
      <x:c r="B35" s="1" t="n">
        <x:v>-2.995364137976206e-7</x:v>
      </x:c>
      <x:c r="C35" s="1" t="n">
        <x:v>-0.000001059392272170545</x:v>
      </x:c>
      <x:c r="D35" s="1" t="n">
        <x:v>-4.729585223995735e-7</x:v>
      </x:c>
      <x:c r="E35" s="1" t="n">
        <x:v>-4.2408492619785615e-7</x:v>
      </x:c>
      <x:c r="F35" s="1" t="n">
        <x:v>-0.0000016033382194594336</x:v>
      </x:c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15" hidden="0" customHeight="1">
      <x:c r="A36" s="1" t="n">
        <x:v>-0.1000006</x:v>
      </x:c>
      <x:c r="B36" s="1" t="n">
        <x:v>-3.893978411463942e-7</x:v>
      </x:c>
      <x:c r="C36" s="1" t="n">
        <x:v>-0.0000010120967989839338</x:v>
      </x:c>
      <x:c r="D36" s="1" t="n">
        <x:v>-4.713819689010704e-7</x:v>
      </x:c>
      <x:c r="E36" s="1" t="n">
        <x:v>-4.5088576978816817e-7</x:v>
      </x:c>
      <x:c r="F36" s="1" t="n">
        <x:v>-0.0000015323947267373956</x:v>
      </x:c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15" hidden="0" customHeight="1">
      <x:c r="A37" s="1" t="n">
        <x:v>-0.09000018</x:v>
      </x:c>
      <x:c r="B37" s="1" t="n">
        <x:v>-2.869241272806557e-7</x:v>
      </x:c>
      <x:c r="C37" s="1" t="n">
        <x:v>-0.0000010152497645098797</x:v>
      </x:c>
      <x:c r="D37" s="1" t="n">
        <x:v>-3.9728565212414706e-7</x:v>
      </x:c>
      <x:c r="E37" s="1" t="n">
        <x:v>-4.4930921628966505e-7</x:v>
      </x:c>
      <x:c r="F37" s="1" t="n">
        <x:v>-0.0000014740633790612621</x:v>
      </x:c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15" hidden="0" customHeight="1">
      <x:c r="A38" s="1" t="n">
        <x:v>-0.08000042</x:v>
      </x:c>
      <x:c r="B38" s="1" t="n">
        <x:v>-1.8129744788897137e-7</x:v>
      </x:c>
      <x:c r="C38" s="1" t="n">
        <x:v>-9.380003407359499e-7</x:v>
      </x:c>
      <x:c r="D38" s="1" t="n">
        <x:v>-3.87826614075249e-7</x:v>
      </x:c>
      <x:c r="E38" s="1" t="n">
        <x:v>-5.029107619992284e-7</x:v>
      </x:c>
      <x:c r="F38" s="1" t="n">
        <x:v>-0.000001401544181667084</x:v>
      </x:c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15" hidden="0" customHeight="1">
      <x:c r="A39" s="1" t="n">
        <x:v>-0.06999933</x:v>
      </x:c>
      <x:c r="B39" s="1" t="n">
        <x:v>-1.1981324786374037e-7</x:v>
      </x:c>
      <x:c r="C39" s="1" t="n">
        <x:v>-8.843987950263864e-7</x:v>
      </x:c>
      <x:c r="D39" s="1" t="n">
        <x:v>-3.0584767127687027e-7</x:v>
      </x:c>
      <x:c r="E39" s="1" t="n">
        <x:v>-4.54038735314114e-7</x:v>
      </x:c>
      <x:c r="F39" s="1" t="n">
        <x:v>-0.0000013826259640982273</x:v>
      </x:c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15" hidden="0" customHeight="1">
      <x:c r="A40" s="1" t="n">
        <x:v>-0.06000024</x:v>
      </x:c>
      <x:c r="B40" s="1" t="n">
        <x:v>-1.5607317194426858e-7</x:v>
      </x:c>
      <x:c r="C40" s="1" t="n">
        <x:v>-7.91384119209546e-7</x:v>
      </x:c>
      <x:c r="D40" s="1" t="n">
        <x:v>-3.310719613686791e-7</x:v>
      </x:c>
      <x:c r="E40" s="1" t="n">
        <x:v>-3.3737646437502845e-7</x:v>
      </x:c>
      <x:c r="F40" s="1" t="n">
        <x:v>-0.0000013195652388687053</x:v>
      </x:c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15" hidden="0" customHeight="1">
      <x:c r="A41" s="1" t="n">
        <x:v>-0.04999982</x:v>
      </x:c>
      <x:c r="B41" s="1" t="n">
        <x:v>-1.9548614643337894e-7</x:v>
      </x:c>
      <x:c r="C41" s="1" t="n">
        <x:v>-7.929606727080492e-7</x:v>
      </x:c>
      <x:c r="D41" s="1" t="n">
        <x:v>-2.695876481665997e-7</x:v>
      </x:c>
      <x:c r="E41" s="1" t="n">
        <x:v>-4.382736247422638e-7</x:v>
      </x:c>
      <x:c r="F41" s="1" t="n">
        <x:v>-0.0000012643871396606386</x:v>
      </x:c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15" hidden="0" customHeight="1">
      <x:c r="A42" s="1" t="n">
        <x:v>-0.03999939</x:v>
      </x:c>
      <x:c r="B42" s="1" t="n">
        <x:v>-1.7026185634157014e-7</x:v>
      </x:c>
      <x:c r="C42" s="1" t="n">
        <x:v>-6.211201610898364e-7</x:v>
      </x:c>
      <x:c r="D42" s="1" t="n">
        <x:v>-2.7747027418805513e-7</x:v>
      </x:c>
      <x:c r="E42" s="1" t="n">
        <x:v>-4.051667086289995e-7</x:v>
      </x:c>
      <x:c r="F42" s="1" t="n">
        <x:v>-0.0000011634899792934032</x:v>
      </x:c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15" hidden="0" customHeight="1">
      <x:c r="A43" s="1" t="n">
        <x:v>-0.0300003</x:v>
      </x:c>
      <x:c r="B43" s="1" t="n">
        <x:v>-1.3400191811393586e-7</x:v>
      </x:c>
      <x:c r="C43" s="1" t="n">
        <x:v>-6.069314625454288e-7</x:v>
      </x:c>
      <x:c r="D43" s="1" t="n">
        <x:v>-2.506694305977431e-7</x:v>
      </x:c>
      <x:c r="E43" s="1" t="n">
        <x:v>-2.049487999219716e-7</x:v>
      </x:c>
      <x:c r="F43" s="1" t="n">
        <x:v>-8.97058238359847e-7</x:v>
      </x:c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15" hidden="0" customHeight="1">
      <x:c r="A44" s="1" t="n">
        <x:v>-0.01999987</x:v>
      </x:c>
      <x:c r="B44" s="1" t="n">
        <x:v>-1.260999516760437e-8</x:v>
      </x:c>
      <x:c r="C44" s="1" t="n">
        <x:v>-4.1301976783241356e-7</x:v>
      </x:c>
      <x:c r="D44" s="1" t="n">
        <x:v>-1.891852588667242e-7</x:v>
      </x:c>
      <x:c r="E44" s="1" t="n">
        <x:v>-1.3085248314504835e-7</x:v>
      </x:c>
      <x:c r="F44" s="1" t="n">
        <x:v>-7.583246428548984e-7</x:v>
      </x:c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15" hidden="0" customHeight="1">
      <x:c r="A45" s="1" t="n">
        <x:v>-0.009999447</x:v>
      </x:c>
      <x:c r="B45" s="1" t="n">
        <x:v>-6.936465353301666e-8</x:v>
      </x:c>
      <x:c r="C45" s="1" t="n">
        <x:v>-2.8689831737336936e-7</x:v>
      </x:c>
      <x:c r="D45" s="1" t="n">
        <x:v>-7.882891897953033e-8</x:v>
      </x:c>
      <x:c r="E45" s="1" t="n">
        <x:v>-2.3017309001378047e-7</x:v>
      </x:c>
      <x:c r="F45" s="1" t="n">
        <x:v>-6.400858184173097e-7</x:v>
      </x:c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15" hidden="0" customHeight="1">
      <x:c r="A46" s="1" t="n">
        <x:v>3.111451e-7</x:v>
      </x:c>
      <x:c r="B46" s="1" t="n">
        <x:v>2.1583665636770585e-12</x:v>
      </x:c>
      <x:c r="C46" s="1" t="n">
        <x:v>2.8053156486327686e-11</x:v>
      </x:c>
      <x:c r="D46" s="1" t="n">
        <x:v>-3.0831781579549846e-12</x:v>
      </x:c>
      <x:c r="E46" s="1" t="n">
        <x:v>-1.6711236478425837e-7</x:v>
      </x:c>
      <x:c r="F46" s="1" t="n">
        <x:v>-4.0045506254512574e-7</x:v>
      </x:c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15" hidden="0" customHeight="1">
      <x:c r="A47" s="1" t="n">
        <x:v>0.009999403</x:v>
      </x:c>
      <x:c r="B47" s="1" t="n">
        <x:v>9.301673515366175e-8</x:v>
      </x:c>
      <x:c r="C47" s="1" t="n">
        <x:v>2.5227100076002455e-7</x:v>
      </x:c>
      <x:c r="D47" s="1" t="n">
        <x:v>8.670552011573025e-8</x:v>
      </x:c>
      <x:c r="E47" s="1" t="n">
        <x:v>-1.5136615551522955e-12</x:v>
      </x:c>
      <x:c r="F47" s="1" t="n">
        <x:v>-1.933991668037537e-11</x:v>
      </x:c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15" hidden="0" customHeight="1">
      <x:c r="A48" s="1" t="n">
        <x:v>0.0200005</x:v>
      </x:c>
      <x:c r="B48" s="1" t="n">
        <x:v>1.7499572039335858e-7</x:v>
      </x:c>
      <x:c r="C48" s="1" t="n">
        <x:v>6.905430651552832e-7</x:v>
      </x:c>
      <x:c r="D48" s="1" t="n">
        <x:v>3.200302034649619e-7</x:v>
      </x:c>
      <x:c r="E48" s="1" t="n">
        <x:v>4.256453953034948e-8</x:v>
      </x:c>
      <x:c r="F48" s="1" t="n">
        <x:v>5.438795453413232e-7</x:v>
      </x:c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15" hidden="0" customHeight="1">
      <x:c r="A49" s="1" t="n">
        <x:v>0.02999959</x:v>
      </x:c>
      <x:c r="B49" s="1" t="n">
        <x:v>3.70483968604877e-7</x:v>
      </x:c>
      <x:c r="C49" s="1" t="n">
        <x:v>0.0000013810582186251409</x:v>
      </x:c>
      <x:c r="D49" s="1" t="n">
        <x:v>5.060593711862641e-7</x:v>
      </x:c>
      <x:c r="E49" s="1" t="n">
        <x:v>2.995370302084171e-7</x:v>
      </x:c>
      <x:c r="F49" s="1" t="n">
        <x:v>0.0000010735896372693086</x:v>
      </x:c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15" hidden="0" customHeight="1">
      <x:c r="A50" s="1" t="n">
        <x:v>0.03999935</x:v>
      </x:c>
      <x:c r="B50" s="1" t="n">
        <x:v>4.303917283084533e-7</x:v>
      </x:c>
      <x:c r="C50" s="1" t="n">
        <x:v>0.000002122021386394374</x:v>
      </x:c>
      <x:c r="D50" s="1" t="n">
        <x:v>8.718116199588102e-7</x:v>
      </x:c>
      <x:c r="E50" s="1" t="n">
        <x:v>6.668657617439361e-7</x:v>
      </x:c>
      <x:c r="F50" s="1" t="n">
        <x:v>0.0000019327917709471907</x:v>
      </x:c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15" hidden="0" customHeight="1">
      <x:c r="A51" s="1" t="n">
        <x:v>0.04999977</x:v>
      </x:c>
      <x:c r="B51" s="1" t="n">
        <x:v>6.747520032050862e-7</x:v>
      </x:c>
      <x:c r="C51" s="1" t="n">
        <x:v>0.0000032870695228815733</x:v>
      </x:c>
      <x:c r="D51" s="1" t="n">
        <x:v>0.0000012296813417396434</x:v>
      </x:c>
      <x:c r="E51" s="1" t="n">
        <x:v>0.0000010105467849803618</x:v>
      </x:c>
      <x:c r="F51" s="1" t="n">
        <x:v>0.000002978023822142996</x:v>
      </x:c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15" hidden="0" customHeight="1">
      <x:c r="A52" s="1" t="n">
        <x:v>0.05999953</x:v>
      </x:c>
      <x:c r="B52" s="1" t="n">
        <x:v>9.459131216920311e-7</x:v>
      </x:c>
      <x:c r="C52" s="1" t="n">
        <x:v>0.000004668098698052804</x:v>
      </x:c>
      <x:c r="D52" s="1" t="n">
        <x:v>0.0000017688506131875873</x:v>
      </x:c>
      <x:c r="E52" s="1" t="n">
        <x:v>0.0000013463451821953319</x:v>
      </x:c>
      <x:c r="F52" s="1" t="n">
        <x:v>0.000004552965965266786</x:v>
      </x:c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15" hidden="0" customHeight="1">
      <x:c r="A53" s="1" t="n">
        <x:v>0.06999996</x:v>
      </x:c>
      <x:c r="B53" s="1" t="n">
        <x:v>0.000001360537496179434</x:v>
      </x:c>
      <x:c r="C53" s="1" t="n">
        <x:v>0.000006768021555551192</x:v>
      </x:c>
      <x:c r="D53" s="1" t="n">
        <x:v>0.0000025508043133889635</x:v>
      </x:c>
      <x:c r="E53" s="1" t="n">
        <x:v>0.0000018492552793593684</x:v>
      </x:c>
      <x:c r="F53" s="1" t="n">
        <x:v>0.00000653307273747378</x:v>
      </x:c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15" hidden="0" customHeight="1">
      <x:c r="A54" s="1" t="n">
        <x:v>0.08000105</x:v>
      </x:c>
      <x:c r="B54" s="1" t="n">
        <x:v>0.0000018839413741134067</x:v>
      </x:c>
      <x:c r="C54" s="1" t="n">
        <x:v>0.00000936297145977898</x:v>
      </x:c>
      <x:c r="D54" s="1" t="n">
        <x:v>0.000003432077064277406</x:v>
      </x:c>
      <x:c r="E54" s="1" t="n">
        <x:v>0.000002714763909973384</x:v>
      </x:c>
      <x:c r="F54" s="1" t="n">
        <x:v>0.000009052349771426141</x:v>
      </x:c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15" hidden="0" customHeight="1">
      <x:c r="A55" s="1" t="n">
        <x:v>0.09000081</x:v>
      </x:c>
      <x:c r="B55" s="1" t="n">
        <x:v>0.0000026564356118527036</x:v>
      </x:c>
      <x:c r="C55" s="1" t="n">
        <x:v>0.000013178144628809762</x:v>
      </x:c>
      <x:c r="D55" s="1" t="n">
        <x:v>0.000004578206275840447</x:v>
      </x:c>
      <x:c r="E55" s="1" t="n">
        <x:v>0.000003900305544288399</x:v>
      </x:c>
      <x:c r="F55" s="1" t="n">
        <x:v>0.00001238983883103742</x:v>
      </x:c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15" hidden="0" customHeight="1">
      <x:c r="A56" s="1" t="n">
        <x:v>0.09999923</x:v>
      </x:c>
      <x:c r="B56" s="1" t="n">
        <x:v>0.0000035928877351887575</x:v>
      </x:c>
      <x:c r="C56" s="1" t="n">
        <x:v>0.00001792661653123747</x:v>
      </x:c>
      <x:c r="D56" s="1" t="n">
        <x:v>0.0000061972902192696006</x:v>
      </x:c>
      <x:c r="E56" s="1" t="n">
        <x:v>0.000005434257862335349</x:v>
      </x:c>
      <x:c r="F56" s="1" t="n">
        <x:v>0.000016641714772674495</x:v>
      </x:c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15" hidden="0" customHeight="1">
      <x:c r="A57" s="1" t="n">
        <x:v>0.109999</x:v>
      </x:c>
      <x:c r="B57" s="1" t="n">
        <x:v>0.00000485567822739346</x:v>
      </x:c>
      <x:c r="C57" s="1" t="n">
        <x:v>0.000024279982829723567</x:v>
      </x:c>
      <x:c r="D57" s="1" t="n">
        <x:v>0.000008279871554168694</x:v>
      </x:c>
      <x:c r="E57" s="1" t="n">
        <x:v>0.000007592510652799265</x:v>
      </x:c>
      <x:c r="F57" s="1" t="n">
        <x:v>0.000022553648921000907</x:v>
      </x:c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15" hidden="0" customHeight="1">
      <x:c r="A58" s="1" t="n">
        <x:v>0.1199987</x:v>
      </x:c>
      <x:c r="B58" s="1" t="n">
        <x:v>0.0000068641626796313895</x:v>
      </x:c>
      <x:c r="C58" s="1" t="n">
        <x:v>0.00003296029342595553</x:v>
      </x:c>
      <x:c r="D58" s="1" t="n">
        <x:v>0.00001102301380900821</x:v>
      </x:c>
      <x:c r="E58" s="1" t="n">
        <x:v>0.000010526412485652211</x:v>
      </x:c>
      <x:c r="F58" s="1" t="n">
        <x:v>0.000029411501021323178</x:v>
      </x:c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15" hidden="0" customHeight="1">
      <x:c r="A59" s="1" t="n">
        <x:v>0.1299992</x:v>
      </x:c>
      <x:c r="B59" s="1" t="n">
        <x:v>0.000009244706118078801</x:v>
      </x:c>
      <x:c r="C59" s="1" t="n">
        <x:v>0.00004352454584100185</x:v>
      </x:c>
      <x:c r="D59" s="1" t="n">
        <x:v>0.000014611166952502107</x:v>
      </x:c>
      <x:c r="E59" s="1" t="n">
        <x:v>0.00001451184607602619</x:v>
      </x:c>
      <x:c r="F59" s="1" t="n">
        <x:v>0.00003826681131942597</x:v>
      </x:c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15" hidden="0" customHeight="1">
      <x:c r="A60" s="1" t="n">
        <x:v>0.1400003</x:v>
      </x:c>
      <x:c r="B60" s="1" t="n">
        <x:v>0.000012782413510810292</x:v>
      </x:c>
      <x:c r="C60" s="1" t="n">
        <x:v>0.0000572024206800617</x:v>
      </x:c>
      <x:c r="D60" s="1" t="n">
        <x:v>0.000019280815424136472</x:v>
      </x:c>
      <x:c r="E60" s="1" t="n">
        <x:v>0.00002054834549314586</x:v>
      </x:c>
      <x:c r="F60" s="1" t="n">
        <x:v>0.000050251503917684894</x:v>
      </x:c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15" hidden="0" customHeight="1">
      <x:c r="A61" s="1" t="n">
        <x:v>0.15</x:v>
      </x:c>
      <x:c r="B61" s="1" t="n">
        <x:v>0.000017403186560454093</x:v>
      </x:c>
      <x:c r="C61" s="1" t="n">
        <x:v>0.00007529927141860967</x:v>
      </x:c>
      <x:c r="D61" s="1" t="n">
        <x:v>0.000025392973564425512</x:v>
      </x:c>
      <x:c r="E61" s="1" t="n">
        <x:v>0.00002751969982532824</x:v>
      </x:c>
      <x:c r="F61" s="1" t="n">
        <x:v>0.00006384267114374827</x:v>
      </x:c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15" hidden="0" customHeight="1">
      <x:c r="A62" s="1" t="n">
        <x:v>0.1599998</x:v>
      </x:c>
      <x:c r="B62" s="1" t="n">
        <x:v>0.000024454953043439523</x:v>
      </x:c>
      <x:c r="C62" s="1" t="n">
        <x:v>0.00009831644320093826</x:v>
      </x:c>
      <x:c r="D62" s="1" t="n">
        <x:v>0.000033739072927270556</x:v>
      </x:c>
      <x:c r="E62" s="1" t="n">
        <x:v>0.00003791841695245294</x:v>
      </x:c>
      <x:c r="F62" s="1" t="n">
        <x:v>0.00008151543408415707</x:v>
      </x:c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15" hidden="0" customHeight="1">
      <x:c r="A63" s="1" t="n">
        <x:v>0.1700002</x:v>
      </x:c>
      <x:c r="B63" s="1" t="n">
        <x:v>0.000032525155544046506</x:v>
      </x:c>
      <x:c r="C63" s="1" t="n">
        <x:v>0.00012706899324805665</x:v>
      </x:c>
      <x:c r="D63" s="1" t="n">
        <x:v>0.000044361653860571804</x:v>
      </x:c>
      <x:c r="E63" s="1" t="n">
        <x:v>0.00005000873184450068</x:v>
      </x:c>
      <x:c r="F63" s="1" t="n">
        <x:v>0.00010294032078605196</x:v>
      </x:c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15" hidden="0" customHeight="1">
      <x:c r="A64" s="1" t="n">
        <x:v>0.18</x:v>
      </x:c>
      <x:c r="B64" s="1" t="n">
        <x:v>0.00004491974639307384</x:v>
      </x:c>
      <x:c r="C64" s="1" t="n">
        <x:v>0.00016418807107916003</x:v>
      </x:c>
      <x:c r="D64" s="1" t="n">
        <x:v>0.00005862913763858641</x:v>
      </x:c>
      <x:c r="E64" s="1" t="n">
        <x:v>0.00007200432695166402</x:v>
      </x:c>
      <x:c r="F64" s="1" t="n">
        <x:v>0.00012866911082680304</x:v>
      </x:c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15" hidden="0" customHeight="1">
      <x:c r="A65" s="1" t="n">
        <x:v>0.1900017</x:v>
      </x:c>
      <x:c r="B65" s="1" t="n">
        <x:v>0.00006088829234996067</x:v>
      </x:c>
      <x:c r="C65" s="1" t="n">
        <x:v>0.00020917091683935073</x:v>
      </x:c>
      <x:c r="D65" s="1" t="n">
        <x:v>0.0000773739399814501</x:v>
      </x:c>
      <x:c r="E65" s="1" t="n">
        <x:v>0.00009068290669109545</x:v>
      </x:c>
      <x:c r="F65" s="1" t="n">
        <x:v>0.00016083487656281113</x:v>
      </x:c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15" hidden="0" customHeight="1">
      <x:c r="A66" s="1" t="n">
        <x:v>0.2000008</x:v>
      </x:c>
      <x:c r="B66" s="1" t="n">
        <x:v>0.0000836216873319799</x:v>
      </x:c>
      <x:c r="C66" s="1" t="n">
        <x:v>0.00026514365899439266</x:v>
      </x:c>
      <x:c r="D66" s="1" t="n">
        <x:v>0.00010048569931484644</x:v>
      </x:c>
      <x:c r="E66" s="1" t="n">
        <x:v>0.00011727877286181114</x:v>
      </x:c>
      <x:c r="F66" s="1" t="n">
        <x:v>0.0001987437448835137</x:v>
      </x:c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15" hidden="0" customHeight="1">
      <x:c r="A67" s="1" t="n">
        <x:v>0.2100006</x:v>
      </x:c>
      <x:c r="B67" s="1" t="n">
        <x:v>0.00011239946166919009</x:v>
      </x:c>
      <x:c r="C67" s="1" t="n">
        <x:v>0.00033597185280210184</x:v>
      </x:c>
      <x:c r="D67" s="1" t="n">
        <x:v>0.00013390315855307157</x:v>
      </x:c>
      <x:c r="E67" s="1" t="n">
        <x:v>0.0001495911309107364</x:v>
      </x:c>
      <x:c r="F67" s="1" t="n">
        <x:v>0.0002456326302421729</x:v>
      </x:c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15" hidden="0" customHeight="1">
      <x:c r="A68" s="1" t="n">
        <x:v>0.2200017</x:v>
      </x:c>
      <x:c r="B68" s="1" t="n">
        <x:v>0.00015467698463315167</x:v>
      </x:c>
      <x:c r="C68" s="1" t="n">
        <x:v>0.000421144787733979</x:v>
      </x:c>
      <x:c r="D68" s="1" t="n">
        <x:v>0.00017578344492618183</x:v>
      </x:c>
      <x:c r="E68" s="1" t="n">
        <x:v>0.00019108034883123432</x:v>
      </x:c>
      <x:c r="F68" s="1" t="n">
        <x:v>0.00029744018143320456</x:v>
      </x:c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15" hidden="0" customHeight="1">
      <x:c r="A69" s="1" t="n">
        <x:v>0.2300014</x:v>
      </x:c>
      <x:c r="B69" s="1" t="n">
        <x:v>0.00020708833431050885</x:v>
      </x:c>
      <x:c r="C69" s="1" t="n">
        <x:v>0.0005224440088552295</x:v>
      </x:c>
      <x:c r="D69" s="1" t="n">
        <x:v>0.00023046809307513338</x:v>
      </x:c>
      <x:c r="E69" s="1" t="n">
        <x:v>0.0002489700238564053</x:v>
      </x:c>
      <x:c r="F69" s="1" t="n">
        <x:v>0.00036633234377761366</x:v>
      </x:c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15" hidden="0" customHeight="1">
      <x:c r="A70" s="1" t="n">
        <x:v>0.2399999</x:v>
      </x:c>
      <x:c r="B70" s="1" t="n">
        <x:v>0.00027969807318342356</x:v>
      </x:c>
      <x:c r="C70" s="1" t="n">
        <x:v>0.0006454661113202673</x:v>
      </x:c>
      <x:c r="D70" s="1" t="n">
        <x:v>0.00029903091079063767</x:v>
      </x:c>
      <x:c r="E70" s="1" t="n">
        <x:v>0.00031968956788963046</x:v>
      </x:c>
      <x:c r="F70" s="1" t="n">
        <x:v>0.00044421088935770305</x:v>
      </x:c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 ht="15" hidden="0" customHeight="1">
      <x:c r="A71" s="1" t="n">
        <x:v>0.2500023</x:v>
      </x:c>
      <x:c r="B71" s="1" t="n">
        <x:v>0.0003696241528068576</x:v>
      </x:c>
      <x:c r="C71" s="1" t="n">
        <x:v>0.0007867126572733414</x:v>
      </x:c>
      <x:c r="D71" s="1" t="n">
        <x:v>0.00039050199586607756</x:v>
      </x:c>
      <x:c r="E71" s="1" t="n">
        <x:v>0.00040916647689589396</x:v>
      </x:c>
      <x:c r="F71" s="1" t="n">
        <x:v>0.0005423759606040578</x:v>
      </x:c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 ht="15" hidden="0" customHeight="1">
      <x:c r="A72" s="1" t="n">
        <x:v>0.260002</x:v>
      </x:c>
      <x:c r="B72" s="1" t="n">
        <x:v>0.00048229170540986684</x:v>
      </x:c>
      <x:c r="C72" s="1" t="n">
        <x:v>0.0009557595398593448</x:v>
      </x:c>
      <x:c r="D72" s="1" t="n">
        <x:v>0.0004984935055055167</x:v>
      </x:c>
      <x:c r="E72" s="1" t="n">
        <x:v>0.0005143422880176815</x:v>
      </x:c>
      <x:c r="F72" s="1" t="n">
        <x:v>0.0006560570118846762</x:v>
      </x:c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 ht="15" hidden="0" customHeight="1">
      <x:c r="A73" s="1" t="n">
        <x:v>0.2700038</x:v>
      </x:c>
      <x:c r="B73" s="1" t="n">
        <x:v>0.000628261545660727</x:v>
      </x:c>
      <x:c r="C73" s="1" t="n">
        <x:v>0.0011433810068081868</x:v>
      </x:c>
      <x:c r="D73" s="1" t="n">
        <x:v>0.0006302636124692481</x:v>
      </x:c>
      <x:c r="E73" s="1" t="n">
        <x:v>0.0006503186125529759</x:v>
      </x:c>
      <x:c r="F73" s="1" t="n">
        <x:v>0.0007861576188631388</x:v>
      </x:c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 ht="15" hidden="0" customHeight="1">
      <x:c r="A74" s="1" t="n">
        <x:v>0.2800042</x:v>
      </x:c>
      <x:c r="B74" s="1" t="n">
        <x:v>0.0007951501457473437</x:v>
      </x:c>
      <x:c r="C74" s="1" t="n">
        <x:v>0.0013591369650349204</x:v>
      </x:c>
      <x:c r="D74" s="1" t="n">
        <x:v>0.0008049277449845019</x:v>
      </x:c>
      <x:c r="E74" s="1" t="n">
        <x:v>0.0008073224881695714</x:v>
      </x:c>
      <x:c r="F74" s="1" t="n">
        <x:v>0.0009432151120116737</x:v>
      </x:c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 ht="15" hidden="0" customHeight="1">
      <x:c r="A75" s="1" t="n">
        <x:v>0.2900046</x:v>
      </x:c>
      <x:c r="B75" s="1" t="n">
        <x:v>0.0009979092991146026</x:v>
      </x:c>
      <x:c r="C75" s="1" t="n">
        <x:v>0.0015975343762014375</x:v>
      </x:c>
      <x:c r="D75" s="1" t="n">
        <x:v>0.0009858757390662054</x:v>
      </x:c>
      <x:c r="E75" s="1" t="n">
        <x:v>0.0009843244299600194</x:v>
      </x:c>
      <x:c r="F75" s="1" t="n">
        <x:v>0.0011209061593379446</x:v>
      </x:c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 ht="15" hidden="0" customHeight="1">
      <x:c r="A76" s="1" t="n">
        <x:v>0.3000057</x:v>
      </x:c>
      <x:c r="B76" s="1" t="n">
        <x:v>0.001227970669510678</x:v>
      </x:c>
      <x:c r="C76" s="1" t="n">
        <x:v>0.0018646911563201902</x:v>
      </x:c>
      <x:c r="D76" s="1" t="n">
        <x:v>0.001212380527000654</x:v>
      </x:c>
      <x:c r="E76" s="1" t="n">
        <x:v>0.0011897085788553407</x:v>
      </x:c>
      <x:c r="F76" s="1" t="n">
        <x:v>0.001320769258625173</x:v>
      </x:c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 ht="15" hidden="0" customHeight="1">
      <x:c r="A77" s="1" t="n">
        <x:v>0.3100042</x:v>
      </x:c>
      <x:c r="B77" s="1" t="n">
        <x:v>0.0015009072498072256</x:v>
      </x:c>
      <x:c r="C77" s="1" t="n">
        <x:v>0.0021552656410878334</x:v>
      </x:c>
      <x:c r="D77" s="1" t="n">
        <x:v>0.0014626999873798288</x:v>
      </x:c>
      <x:c r="E77" s="1" t="n">
        <x:v>0.0014375167864391163</x:v>
      </x:c>
      <x:c r="F77" s="1" t="n">
        <x:v>0.0015461657622714599</x:v>
      </x:c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 ht="15" hidden="0" customHeight="1">
      <x:c r="A78" s="1" t="n">
        <x:v>0.3200039</x:v>
      </x:c>
      <x:c r="B78" s="1" t="n">
        <x:v>0.0017925201321591303</x:v>
      </x:c>
      <x:c r="C78" s="1" t="n">
        <x:v>0.0024585230064316436</x:v>
      </x:c>
      <x:c r="D78" s="1" t="n">
        <x:v>0.0017448343086764826</x:v>
      </x:c>
      <x:c r="E78" s="1" t="n">
        <x:v>0.0016905986107461244</x:v>
      </x:c>
      <x:c r="F78" s="1" t="n">
        <x:v>0.0018061994744927221</x:v>
      </x:c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 ht="15" hidden="0" customHeight="1">
      <x:c r="A79" s="1" t="n">
        <x:v>0.3300063</x:v>
      </x:c>
      <x:c r="B79" s="1" t="n">
        <x:v>0.002117506037689149</x:v>
      </x:c>
      <x:c r="C79" s="1" t="n">
        <x:v>0.0027950289004203053</x:v>
      </x:c>
      <x:c r="D79" s="1" t="n">
        <x:v>0.0020487919557698976</x:v>
      </x:c>
      <x:c r="E79" s="1" t="n">
        <x:v>0.0019904281322933866</x:v>
      </x:c>
      <x:c r="F79" s="1" t="n">
        <x:v>0.002077042990448786</x:v>
      </x:c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 ht="15" hidden="0" customHeight="1">
      <x:c r="A80" s="1" t="n">
        <x:v>0.3400021</x:v>
      </x:c>
      <x:c r="B80" s="1" t="n">
        <x:v>0.002462174811870168</x:v>
      </x:c>
      <x:c r="C80" s="1" t="n">
        <x:v>0.0031616157860086375</x:v>
      </x:c>
      <x:c r="D80" s="1" t="n">
        <x:v>0.002386406982873084</x:v>
      </x:c>
      <x:c r="E80" s="1" t="n">
        <x:v>0.0023042618741221307</x:v>
      </x:c>
      <x:c r="F80" s="1" t="n">
        <x:v>0.002372041275279081</x:v>
      </x:c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 ht="15" hidden="0" customHeight="1">
      <x:c r="A81" s="1" t="n">
        <x:v>0.3500039</x:v>
      </x:c>
      <x:c r="B81" s="1" t="n">
        <x:v>0.002832110317461154</x:v>
      </x:c>
      <x:c r="C81" s="1" t="n">
        <x:v>0.0035065731611531297</x:v>
      </x:c>
      <x:c r="D81" s="1" t="n">
        <x:v>0.002726851431186793</x:v>
      </x:c>
      <x:c r="E81" s="1" t="n">
        <x:v>0.0026386216521226105</x:v>
      </x:c>
      <x:c r="F81" s="1" t="n">
        <x:v>0.002692621771984316</x:v>
      </x:c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 ht="15" hidden="0" customHeight="1">
      <x:c r="A82" s="1" t="n">
        <x:v>0.3600043</x:v>
      </x:c>
      <x:c r="B82" s="1" t="n">
        <x:v>0.00323315389455123</x:v>
      </x:c>
      <x:c r="C82" s="1" t="n">
        <x:v>0.0038975836106306927</x:v>
      </x:c>
      <x:c r="D82" s="1" t="n">
        <x:v>0.0030991155504340386</x:v>
      </x:c>
      <x:c r="E82" s="1" t="n">
        <x:v>0.002990156016870963</x:v>
      </x:c>
      <x:c r="F82" s="1" t="n">
        <x:v>0.003025629086646166</x:v>
      </x:c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 ht="15" hidden="0" customHeight="1">
      <x:c r="A83" s="1" t="n">
        <x:v>0.3700007</x:v>
      </x:c>
      <x:c r="B83" s="1" t="n">
        <x:v>0.0036477673757669723</x:v>
      </x:c>
      <x:c r="C83" s="1" t="n">
        <x:v>0.004309096046199703</x:v>
      </x:c>
      <x:c r="D83" s="1" t="n">
        <x:v>0.003495851333731094</x:v>
      </x:c>
      <x:c r="E83" s="1" t="n">
        <x:v>0.0033677111537818855</x:v>
      </x:c>
      <x:c r="F83" s="1" t="n">
        <x:v>0.0033858228950093224</x:v>
      </x:c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 ht="15" hidden="0" customHeight="1">
      <x:c r="A84" s="1" t="n">
        <x:v>0.3800051</x:v>
      </x:c>
      <x:c r="B84" s="1" t="n">
        <x:v>0.004068721589915496</x:v>
      </x:c>
      <x:c r="C84" s="1" t="n">
        <x:v>0.0046891495620395175</x:v>
      </x:c>
      <x:c r="D84" s="1" t="n">
        <x:v>0.0038928247884098335</x:v>
      </x:c>
      <x:c r="E84" s="1" t="n">
        <x:v>0.0037404477863712884</x:v>
      </x:c>
      <x:c r="F84" s="1" t="n">
        <x:v>0.0037638392275775607</x:v>
      </x:c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 ht="15" hidden="0" customHeight="1">
      <x:c r="A85" s="1" t="n">
        <x:v>0.3900062</x:v>
      </x:c>
      <x:c r="B85" s="1" t="n">
        <x:v>0.004518146854994903</x:v>
      </x:c>
      <x:c r="C85" s="1" t="n">
        <x:v>0.005132385468220906</x:v>
      </x:c>
      <x:c r="D85" s="1" t="n">
        <x:v>0.004322352148826241</x:v>
      </x:c>
      <x:c r="E85" s="1" t="n">
        <x:v>0.004154812278520505</x:v>
      </x:c>
      <x:c r="F85" s="1" t="n">
        <x:v>0.004152416374814075</x:v>
      </x:c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 ht="15" hidden="0" customHeight="1">
      <x:c r="A86" s="1" t="n">
        <x:v>0.400006</x:v>
      </x:c>
      <x:c r="B86" s="1" t="n">
        <x:v>0.00496480777555163</x:v>
      </x:c>
      <x:c r="C86" s="1" t="n">
        <x:v>0.005560605636038051</x:v>
      </x:c>
      <x:c r="D86" s="1" t="n">
        <x:v>0.004747549080079943</x:v>
      </x:c>
      <x:c r="E86" s="1" t="n">
        <x:v>0.004571440307638139</x:v>
      </x:c>
      <x:c r="F86" s="1" t="n">
        <x:v>0.004558424171418013</x:v>
      </x:c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 ht="15" hidden="0" customHeight="1">
      <x:c r="A87" s="1" t="n">
        <x:v>0.4100031</x:v>
      </x:c>
      <x:c r="B87" s="1" t="n">
        <x:v>0.00544840961943294</x:v>
      </x:c>
      <x:c r="C87" s="1" t="n">
        <x:v>0.00602105574086426</x:v>
      </x:c>
      <x:c r="D87" s="1" t="n">
        <x:v>0.005197752435992244</x:v>
      </x:c>
      <x:c r="E87" s="1" t="n">
        <x:v>0.00499212997090348</x:v>
      </x:c>
      <x:c r="F87" s="1" t="n">
        <x:v>0.004975456807768752</x:v>
      </x:c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 ht="15" hidden="0" customHeight="1">
      <x:c r="A88" s="1" t="n">
        <x:v>0.4200028</x:v>
      </x:c>
      <x:c r="B88" s="1" t="n">
        <x:v>0.005923367581516102</x:v>
      </x:c>
      <x:c r="C88" s="1" t="n">
        <x:v>0.0064643156971259386</x:v>
      </x:c>
      <x:c r="D88" s="1" t="n">
        <x:v>0.005640305036951292</x:v>
      </x:c>
      <x:c r="E88" s="1" t="n">
        <x:v>0.0054512559066031635</x:v>
      </x:c>
      <x:c r="F88" s="1" t="n">
        <x:v>0.005389106871062311</x:v>
      </x:c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 ht="15" hidden="0" customHeight="1">
      <x:c r="A89" s="1" t="n">
        <x:v>0.4300053</x:v>
      </x:c>
      <x:c r="B89" s="1" t="n">
        <x:v>0.006418715767552896</x:v>
      </x:c>
      <x:c r="C89" s="1" t="n">
        <x:v>0.006940037602935942</x:v>
      </x:c>
      <x:c r="D89" s="1" t="n">
        <x:v>0.00610936789994233</x:v>
      </x:c>
      <x:c r="E89" s="1" t="n">
        <x:v>0.005891199781206109</x:v>
      </x:c>
      <x:c r="F89" s="1" t="n">
        <x:v>0.0058371612815652195</x:v>
      </x:c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 ht="15" hidden="0" customHeight="1">
      <x:c r="A90" s="1" t="n">
        <x:v>0.4400044</x:v>
      </x:c>
      <x:c r="B90" s="1" t="n">
        <x:v>0.006916215728420293</x:v>
      </x:c>
      <x:c r="C90" s="1" t="n">
        <x:v>0.007415360560355262</x:v>
      </x:c>
      <x:c r="D90" s="1" t="n">
        <x:v>0.006578811320086185</x:v>
      </x:c>
      <x:c r="E90" s="1" t="n">
        <x:v>0.006367807295855006</x:v>
      </x:c>
      <x:c r="F90" s="1" t="n">
        <x:v>0.006288630803469229</x:v>
      </x:c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 ht="15" hidden="0" customHeight="1">
      <x:c r="A91" s="1" t="n">
        <x:v>0.4500028</x:v>
      </x:c>
      <x:c r="B91" s="1" t="n">
        <x:v>0.007420574206301996</x:v>
      </x:c>
      <x:c r="C91" s="1" t="n">
        <x:v>0.00791238517845929</x:v>
      </x:c>
      <x:c r="D91" s="1" t="n">
        <x:v>0.007061845865014785</x:v>
      </x:c>
      <x:c r="E91" s="1" t="n">
        <x:v>0.006835165432566706</x:v>
      </x:c>
      <x:c r="F91" s="1" t="n">
        <x:v>0.00673725817176727</x:v>
      </x:c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 ht="15" hidden="0" customHeight="1">
      <x:c r="A92" s="1" t="n">
        <x:v>0.4599985</x:v>
      </x:c>
      <x:c r="B92" s="1" t="n">
        <x:v>0.007948295215118983</x:v>
      </x:c>
      <x:c r="C92" s="1" t="n">
        <x:v>0.008389739660307767</x:v>
      </x:c>
      <x:c r="D92" s="1" t="n">
        <x:v>0.0075406914518412055</x:v>
      </x:c>
      <x:c r="E92" s="1" t="n">
        <x:v>0.007310560540226894</x:v>
      </x:c>
      <x:c r="F92" s="1" t="n">
        <x:v>0.007208573254041885</x:v>
      </x:c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 ht="15" hidden="0" customHeight="1">
      <x:c r="A93" s="1" t="n">
        <x:v>0.4700023</x:v>
      </x:c>
      <x:c r="B93" s="1" t="n">
        <x:v>0.008444582768997672</x:v>
      </x:c>
      <x:c r="C93" s="1" t="n">
        <x:v>0.008901836605200247</x:v>
      </x:c>
      <x:c r="D93" s="1" t="n">
        <x:v>0.008041227381667492</x:v>
      </x:c>
      <x:c r="E93" s="1" t="n">
        <x:v>0.00781617528112607</x:v>
      </x:c>
      <x:c r="F93" s="1" t="n">
        <x:v>0.007672429982005562</x:v>
      </x:c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 ht="15" hidden="0" customHeight="1">
      <x:c r="A94" s="1" t="n">
        <x:v>0.4800034</x:v>
      </x:c>
      <x:c r="B94" s="1" t="n">
        <x:v>0.008995806365099866</x:v>
      </x:c>
      <x:c r="C94" s="1" t="n">
        <x:v>0.009410320379206895</x:v>
      </x:c>
      <x:c r="D94" s="1" t="n">
        <x:v>0.008527539811068482</x:v>
      </x:c>
      <x:c r="E94" s="1" t="n">
        <x:v>0.008322505865591507</x:v>
      </x:c>
      <x:c r="F94" s="1" t="n">
        <x:v>0.008143357433574335</x:v>
      </x:c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 ht="15" hidden="0" customHeight="1">
      <x:c r="A95" s="1" t="n">
        <x:v>0.4900032</x:v>
      </x:c>
      <x:c r="B95" s="1" t="n">
        <x:v>0.00952402676676051</x:v>
      </x:c>
      <x:c r="C95" s="1" t="n">
        <x:v>0.009932934282738887</x:v>
      </x:c>
      <x:c r="D95" s="1" t="n">
        <x:v>0.009059048000175755</x:v>
      </x:c>
      <x:c r="E95" s="1" t="n">
        <x:v>0.008815487240785699</x:v>
      </x:c>
      <x:c r="F95" s="1" t="n">
        <x:v>0.008630131058632641</x:v>
      </x:c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 ht="15" hidden="0" customHeight="1">
      <x:c r="A96" s="1" t="n">
        <x:v>0.5000009</x:v>
      </x:c>
      <x:c r="B96" s="1" t="n">
        <x:v>0.010100060142747171</x:v>
      </x:c>
      <x:c r="C96" s="1" t="n">
        <x:v>0.010443588222814004</x:v>
      </x:c>
      <x:c r="D96" s="1" t="n">
        <x:v>0.009563007529666774</x:v>
      </x:c>
      <x:c r="E96" s="1" t="n">
        <x:v>0.009340067592059006</x:v>
      </x:c>
      <x:c r="F96" s="1" t="n">
        <x:v>0.009117641747916287</x:v>
      </x:c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 ht="15" hidden="0" customHeight="1">
      <x:c r="A97" s="1" t="n">
        <x:v>0.5100027</x:v>
      </x:c>
      <x:c r="B97" s="1" t="n">
        <x:v>0.010613758540044808</x:v>
      </x:c>
      <x:c r="C97" s="1" t="n">
        <x:v>0.010944182155775108</x:v>
      </x:c>
      <x:c r="D97" s="1" t="n">
        <x:v>0.01009108504555629</x:v>
      </x:c>
      <x:c r="E97" s="1" t="n">
        <x:v>0.009842807641008292</x:v>
      </x:c>
      <x:c r="F97" s="1" t="n">
        <x:v>0.0096303654096069</x:v>
      </x:c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 ht="15" hidden="0" customHeight="1">
      <x:c r="A98" s="1" t="n">
        <x:v>0.5200024</x:v>
      </x:c>
      <x:c r="B98" s="1" t="n">
        <x:v>0.011221260738734902</x:v>
      </x:c>
      <x:c r="C98" s="1" t="n">
        <x:v>0.011500432218657793</x:v>
      </x:c>
      <x:c r="D98" s="1" t="n">
        <x:v>0.010609426523060394</x:v>
      </x:c>
      <x:c r="E98" s="1" t="n">
        <x:v>0.010336236064753744</x:v>
      </x:c>
      <x:c r="F98" s="1" t="n">
        <x:v>0.010122575767521224</x:v>
      </x:c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 ht="15" hidden="0" customHeight="1">
      <x:c r="A99" s="1" t="n">
        <x:v>0.5300029</x:v>
      </x:c>
      <x:c r="B99" s="1" t="n">
        <x:v>0.011744914454561762</x:v>
      </x:c>
      <x:c r="C99" s="1" t="n">
        <x:v>0.012013380819334642</x:v>
      </x:c>
      <x:c r="D99" s="1" t="n">
        <x:v>0.0111236809016259</x:v>
      </x:c>
      <x:c r="E99" s="1" t="n">
        <x:v>0.010910935368639643</x:v>
      </x:c>
      <x:c r="F99" s="1" t="n">
        <x:v>0.01063912339197786</x:v>
      </x:c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 ht="15" hidden="0" customHeight="1">
      <x:c r="A100" s="1" t="n">
        <x:v>0.5400039</x:v>
      </x:c>
      <x:c r="B100" s="1" t="n">
        <x:v>0.012321962178052396</x:v>
      </x:c>
      <x:c r="C100" s="1" t="n">
        <x:v>0.012585171478216126</x:v>
      </x:c>
      <x:c r="D100" s="1" t="n">
        <x:v>0.011661637341671952</x:v>
      </x:c>
      <x:c r="E100" s="1" t="n">
        <x:v>0.011443180621972257</x:v>
      </x:c>
      <x:c r="F100" s="1" t="n">
        <x:v>0.01115237898485605</x:v>
      </x:c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  <x:row r="101" ht="15" hidden="0" customHeight="1">
      <x:c r="A101" s="1" t="n">
        <x:v>0.5500024</x:v>
      </x:c>
      <x:c r="B101" s="1" t="n">
        <x:v>0.012862791895337736</x:v>
      </x:c>
      <x:c r="C101" s="1" t="n">
        <x:v>0.013124613364397705</x:v>
      </x:c>
      <x:c r="D101" s="1" t="n">
        <x:v>0.012212176217841202</x:v>
      </x:c>
      <x:c r="E101" s="1" t="n">
        <x:v>0.011974826038008242</x:v>
      </x:c>
      <x:c r="F101" s="1" t="n">
        <x:v>0.011662527873245088</x:v>
      </x:c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</x:row>
    <x:row r="102" ht="15" hidden="0" customHeight="1">
      <x:c r="A102" s="1" t="n">
        <x:v>0.5600021</x:v>
      </x:c>
      <x:c r="B102" s="1" t="n">
        <x:v>0.013446146398706626</x:v>
      </x:c>
      <x:c r="C102" s="1" t="n">
        <x:v>0.01371931384682079</x:v>
      </x:c>
      <x:c r="D102" s="1" t="n">
        <x:v>0.012727777400902914</x:v>
      </x:c>
      <x:c r="E102" s="1" t="n">
        <x:v>0.012541513835736547</x:v>
      </x:c>
      <x:c r="F102" s="1" t="n">
        <x:v>0.012155442757040833</x:v>
      </x:c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</x:row>
    <x:row r="103" ht="15" hidden="0" customHeight="1">
      <x:c r="A103" s="1" t="n">
        <x:v>0.5700026</x:v>
      </x:c>
      <x:c r="B103" s="1" t="n">
        <x:v>0.014036261804058058</x:v>
      </x:c>
      <x:c r="C103" s="1" t="n">
        <x:v>0.014224504174538384</x:v>
      </x:c>
      <x:c r="D103" s="1" t="n">
        <x:v>0.013260836112833555</x:v>
      </x:c>
      <x:c r="E103" s="1" t="n">
        <x:v>0.013059105516619865</x:v>
      </x:c>
      <x:c r="F103" s="1" t="n">
        <x:v>0.01275393324917541</x:v>
      </x:c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</x:row>
    <x:row r="104" ht="15" hidden="0" customHeight="1">
      <x:c r="A104" s="1" t="n">
        <x:v>0.5799616</x:v>
      </x:c>
      <x:c r="B104" s="1" t="n">
        <x:v>0.0145411423101531</x:v>
      </x:c>
      <x:c r="C104" s="1" t="n">
        <x:v>0.014892233433115661</x:v>
      </x:c>
      <x:c r="D104" s="1" t="n">
        <x:v>0.013847972137650304</x:v>
      </x:c>
      <x:c r="E104" s="1" t="n">
        <x:v>0.013592839045509212</x:v>
      </x:c>
      <x:c r="F104" s="1" t="n">
        <x:v>0.01325829314176772</x:v>
      </x:c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</x:row>
    <x:row r="105" ht="15" hidden="0" customHeight="1">
      <x:c r="A105" s="1" t="n">
        <x:v>0.5899987</x:v>
      </x:c>
      <x:c r="B105" s="1" t="n">
        <x:v>0.015115062108495501</x:v>
      </x:c>
      <x:c r="C105" s="1" t="n">
        <x:v>0.015449558676058347</x:v>
      </x:c>
      <x:c r="D105" s="1" t="n">
        <x:v>0.014366129702775727</x:v>
      </x:c>
      <x:c r="E105" s="1" t="n">
        <x:v>0.014210490378081449</x:v>
      </x:c>
      <x:c r="F105" s="1" t="n">
        <x:v>0.013788973725170914</x:v>
      </x:c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</x:row>
    <x:row r="106" ht="15" hidden="0" customHeight="1">
      <x:c r="A106" s="1" t="n">
        <x:v>0.5999998</x:v>
      </x:c>
      <x:c r="B106" s="1" t="n">
        <x:v>0.015709410327977878</x:v>
      </x:c>
      <x:c r="C106" s="1" t="n">
        <x:v>0.015964088923191882</x:v>
      </x:c>
      <x:c r="D106" s="1" t="n">
        <x:v>0.014916607746388947</x:v>
      </x:c>
      <x:c r="E106" s="1" t="n">
        <x:v>0.014740554147660751</x:v>
      </x:c>
      <x:c r="F106" s="1" t="n">
        <x:v>0.01431852819893232</x:v>
      </x:c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</x:row>
    <x:row r="107" ht="15" hidden="0" customHeight="1">
      <x:c r="A107" s="1" t="n">
        <x:v>0.6099983</x:v>
      </x:c>
      <x:c r="B107" s="1" t="n">
        <x:v>0.01633498121051837</x:v>
      </x:c>
      <x:c r="C107" s="1" t="n">
        <x:v>0.01652328158413351</x:v>
      </x:c>
      <x:c r="D107" s="1" t="n">
        <x:v>0.015504151207860015</x:v>
      </x:c>
      <x:c r="E107" s="1" t="n">
        <x:v>0.015374910383059916</x:v>
      </x:c>
      <x:c r="F107" s="1" t="n">
        <x:v>0.014841560856803472</x:v>
      </x:c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</x:row>
    <x:row r="108" ht="15" hidden="0" customHeight="1">
      <x:c r="A108" s="1" t="n">
        <x:v>0.620002</x:v>
      </x:c>
      <x:c r="B108" s="1" t="n">
        <x:v>0.016906213058710772</x:v>
      </x:c>
      <x:c r="C108" s="1" t="n">
        <x:v>0.01712736301258008</x:v>
      </x:c>
      <x:c r="D108" s="1" t="n">
        <x:v>0.016087973980439246</x:v>
      </x:c>
      <x:c r="E108" s="1" t="n">
        <x:v>0.015932433685487336</x:v>
      </x:c>
      <x:c r="F108" s="1" t="n">
        <x:v>0.015373322279109087</x:v>
      </x:c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</x:row>
    <x:row r="109" ht="15" hidden="0" customHeight="1">
      <x:c r="A109" s="1" t="n">
        <x:v>0.6300051</x:v>
      </x:c>
      <x:c r="B109" s="1" t="n">
        <x:v>0.017577182004574095</x:v>
      </x:c>
      <x:c r="C109" s="1" t="n">
        <x:v>0.017699344657393274</x:v>
      </x:c>
      <x:c r="D109" s="1" t="n">
        <x:v>0.016552734708479684</x:v>
      </x:c>
      <x:c r="E109" s="1" t="n">
        <x:v>0.016474748848908198</x:v>
      </x:c>
      <x:c r="F109" s="1" t="n">
        <x:v>0.015965152313714096</x:v>
      </x:c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</x:row>
    <x:row r="110" ht="15" hidden="0" customHeight="1">
      <x:c r="A110" s="1" t="n">
        <x:v>0.6400035</x:v>
      </x:c>
      <x:c r="B110" s="1" t="n">
        <x:v>0.018127561018444947</x:v>
      </x:c>
      <x:c r="C110" s="1" t="n">
        <x:v>0.018266898258011997</x:v>
      </x:c>
      <x:c r="D110" s="1" t="n">
        <x:v>0.017153576449640207</x:v>
      </x:c>
      <x:c r="E110" s="1" t="n">
        <x:v>0.017050875595794806</x:v>
      </x:c>
      <x:c r="F110" s="1" t="n">
        <x:v>0.01655825558786384</x:v>
      </x:c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</x:row>
    <x:row r="111" ht="15" hidden="0" customHeight="1">
      <x:c r="A111" s="1" t="n">
        <x:v>0.650004</x:v>
      </x:c>
      <x:c r="B111" s="1" t="n">
        <x:v>0.018777960072107774</x:v>
      </x:c>
      <x:c r="C111" s="1" t="n">
        <x:v>0.018905314712848263</x:v>
      </x:c>
      <x:c r="D111" s="1" t="n">
        <x:v>0.017738912962567067</x:v>
      </x:c>
      <x:c r="E111" s="1" t="n">
        <x:v>0.017653485725211908</x:v>
      </x:c>
      <x:c r="F111" s="1" t="n">
        <x:v>0.017067197728106588</x:v>
      </x:c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</x:row>
    <x:row r="112" ht="15" hidden="0" customHeight="1">
      <x:c r="A112" s="1" t="n">
        <x:v>0.6600031</x:v>
      </x:c>
      <x:c r="B112" s="1" t="n">
        <x:v>0.01936125940176306</x:v>
      </x:c>
      <x:c r="C112" s="1" t="n">
        <x:v>0.019451902302297014</x:v>
      </x:c>
      <x:c r="D112" s="1" t="n">
        <x:v>0.018297497297948436</x:v>
      </x:c>
      <x:c r="E112" s="1" t="n">
        <x:v>0.018245598701937968</x:v>
      </x:c>
      <x:c r="F112" s="1" t="n">
        <x:v>0.01763028084321269</x:v>
      </x:c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</x:row>
    <x:row r="113" ht="15" hidden="0" customHeight="1">
      <x:c r="A113" s="1" t="n">
        <x:v>0.6700048</x:v>
      </x:c>
      <x:c r="B113" s="1" t="n">
        <x:v>0.019958394601137797</x:v>
      </x:c>
      <x:c r="C113" s="1" t="n">
        <x:v>0.02010893634869852</x:v>
      </x:c>
      <x:c r="D113" s="1" t="n">
        <x:v>0.01884989934798481</x:v>
      </x:c>
      <x:c r="E113" s="1" t="n">
        <x:v>0.01884809565450665</x:v>
      </x:c>
      <x:c r="F113" s="1" t="n">
        <x:v>0.01821698962542665</x:v>
      </x:c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</x:row>
    <x:row r="114" ht="15" hidden="0" customHeight="1">
      <x:c r="A114" s="1" t="n">
        <x:v>0.6800019</x:v>
      </x:c>
      <x:c r="B114" s="1" t="n">
        <x:v>0.02058008917661987</x:v>
      </x:c>
      <x:c r="C114" s="1" t="n">
        <x:v>0.02073350278670927</x:v>
      </x:c>
      <x:c r="D114" s="1" t="n">
        <x:v>0.01945683849185401</x:v>
      </x:c>
      <x:c r="E114" s="1" t="n">
        <x:v>0.01941513995930748</x:v>
      </x:c>
      <x:c r="F114" s="1" t="n">
        <x:v>0.0187857598771659</x:v>
      </x:c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</x:row>
    <x:row r="115" ht="15" hidden="0" customHeight="1">
      <x:c r="A115" s="1" t="n">
        <x:v>0.690003</x:v>
      </x:c>
      <x:c r="B115" s="1" t="n">
        <x:v>0.021210314457051672</x:v>
      </x:c>
      <x:c r="C115" s="1" t="n">
        <x:v>0.021407612390116276</x:v>
      </x:c>
      <x:c r="D115" s="1" t="n">
        <x:v>0.020027263955001418</x:v>
      </x:c>
      <x:c r="E115" s="1" t="n">
        <x:v>0.02000903547139617</x:v>
      </x:c>
      <x:c r="F115" s="1" t="n">
        <x:v>0.01936714934750408</x:v>
      </x:c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</x:row>
    <x:row r="116" ht="15" hidden="0" customHeight="1">
      <x:c r="A116" s="1" t="n">
        <x:v>0.7000034</x:v>
      </x:c>
      <x:c r="B116" s="1" t="n">
        <x:v>0.021825190127416384</x:v>
      </x:c>
      <x:c r="C116" s="1" t="n">
        <x:v>0.021981263393443678</x:v>
      </x:c>
      <x:c r="D116" s="1" t="n">
        <x:v>0.02067634732780135</x:v>
      </x:c>
      <x:c r="E116" s="1" t="n">
        <x:v>0.02062210031218615</x:v>
      </x:c>
      <x:c r="F116" s="1" t="n">
        <x:v>0.019973409430282755</x:v>
      </x:c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</x:row>
    <x:row r="117" ht="15" hidden="0" customHeight="1">
      <x:c r="A117" s="1" t="n">
        <x:v>0.7100012</x:v>
      </x:c>
      <x:c r="B117" s="1" t="n">
        <x:v>0.022458117505104236</x:v>
      </x:c>
      <x:c r="C117" s="1" t="n">
        <x:v>0.022670906519296454</x:v>
      </x:c>
      <x:c r="D117" s="1" t="n">
        <x:v>0.021257524591548744</x:v>
      </x:c>
      <x:c r="E117" s="1" t="n">
        <x:v>0.02131724666229339</x:v>
      </x:c>
      <x:c r="F117" s="1" t="n">
        <x:v>0.02059402882570483</x:v>
      </x:c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</x:row>
    <x:row r="118" ht="15" hidden="0" customHeight="1">
      <x:c r="A118" s="1" t="n">
        <x:v>0.7200023</x:v>
      </x:c>
      <x:c r="B118" s="1" t="n">
        <x:v>0.023112322130295213</x:v>
      </x:c>
      <x:c r="C118" s="1" t="n">
        <x:v>0.02327668560046934</x:v>
      </x:c>
      <x:c r="D118" s="1" t="n">
        <x:v>0.021870447961278197</x:v>
      </x:c>
      <x:c r="E118" s="1" t="n">
        <x:v>0.021861386802395043</x:v>
      </x:c>
      <x:c r="F118" s="1" t="n">
        <x:v>0.021140602268047533</x:v>
      </x:c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</x:row>
    <x:row r="119" ht="15" hidden="0" customHeight="1">
      <x:c r="A119" s="1" t="n">
        <x:v>0.7300034</x:v>
      </x:c>
      <x:c r="B119" s="1" t="n">
        <x:v>0.02375005952404095</x:v>
      </x:c>
      <x:c r="C119" s="1" t="n">
        <x:v>0.02395358218376871</x:v>
      </x:c>
      <x:c r="D119" s="1" t="n">
        <x:v>0.022432611514490875</x:v>
      </x:c>
      <x:c r="E119" s="1" t="n">
        <x:v>0.022554113997367283</x:v>
      </x:c>
      <x:c r="F119" s="1" t="n">
        <x:v>0.021737595996361745</x:v>
      </x:c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</x:row>
    <x:row r="120" ht="15" hidden="0" customHeight="1">
      <x:c r="A120" s="1" t="n">
        <x:v>0.7400005</x:v>
      </x:c>
      <x:c r="B120" s="1" t="n">
        <x:v>0.02437548893552092</x:v>
      </x:c>
      <x:c r="C120" s="1" t="n">
        <x:v>0.024581402456171565</x:v>
      </x:c>
      <x:c r="D120" s="1" t="n">
        <x:v>0.023019673974356152</x:v>
      </x:c>
      <x:c r="E120" s="1" t="n">
        <x:v>0.023236867482572438</x:v>
      </x:c>
      <x:c r="F120" s="1" t="n">
        <x:v>0.02235793244966277</x:v>
      </x:c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</x:row>
    <x:row r="121" ht="15" hidden="0" customHeight="1">
      <x:c r="A121" s="1" t="n">
        <x:v>0.7500015</x:v>
      </x:c>
      <x:c r="B121" s="1" t="n">
        <x:v>0.02501169844181297</x:v>
      </x:c>
      <x:c r="C121" s="1" t="n">
        <x:v>0.025269489400358554</x:v>
      </x:c>
      <x:c r="D121" s="1" t="n">
        <x:v>0.023695594407337896</x:v>
      </x:c>
      <x:c r="E121" s="1" t="n">
        <x:v>0.02386352769227898</x:v>
      </x:c>
      <x:c r="F121" s="1" t="n">
        <x:v>0.022894900006995744</x:v>
      </x:c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</x:row>
    <x:row r="122" ht="15" hidden="0" customHeight="1">
      <x:c r="A122" s="1" t="n">
        <x:v>0.760004</x:v>
      </x:c>
      <x:c r="B122" s="1" t="n">
        <x:v>0.02571106062952389</x:v>
      </x:c>
      <x:c r="C122" s="1" t="n">
        <x:v>0.025868364693777766</x:v>
      </x:c>
      <x:c r="D122" s="1" t="n">
        <x:v>0.0242827983382637</x:v>
      </x:c>
      <x:c r="E122" s="1" t="n">
        <x:v>0.024571321555197256</x:v>
      </x:c>
      <x:c r="F122" s="1" t="n">
        <x:v>0.023611281163287957</x:v>
      </x:c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</x:row>
    <x:row r="123" ht="15" hidden="0" customHeight="1">
      <x:c r="A123" s="1" t="n">
        <x:v>0.7700004</x:v>
      </x:c>
      <x:c r="B123" s="1" t="n">
        <x:v>0.026279689410202613</x:v>
      </x:c>
      <x:c r="C123" s="1" t="n">
        <x:v>0.026554386160481065</x:v>
      </x:c>
      <x:c r="D123" s="1" t="n">
        <x:v>0.02492743951976311</x:v>
      </x:c>
      <x:c r="E123" s="1" t="n">
        <x:v>0.025251061706813203</x:v>
      </x:c>
      <x:c r="F123" s="1" t="n">
        <x:v>0.024209491542722696</x:v>
      </x:c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</x:row>
    <x:row r="124" ht="15" hidden="0" customHeight="1">
      <x:c r="A124" s="1" t="n">
        <x:v>0.7800022</x:v>
      </x:c>
      <x:c r="B124" s="1" t="n">
        <x:v>0.027029245530188206</x:v>
      </x:c>
      <x:c r="C124" s="1" t="n">
        <x:v>0.027209383023610995</x:v>
      </x:c>
      <x:c r="D124" s="1" t="n">
        <x:v>0.0255229478019418</x:v>
      </x:c>
      <x:c r="E124" s="1" t="n">
        <x:v>0.025903568679277865</x:v>
      </x:c>
      <x:c r="F124" s="1" t="n">
        <x:v>0.0248115923763219</x:v>
      </x:c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</x:row>
    <x:row r="125" ht="15" hidden="0" customHeight="1">
      <x:c r="A125" s="1" t="n">
        <x:v>0.7900019</x:v>
      </x:c>
      <x:c r="B125" s="1" t="n">
        <x:v>0.02759750648610956</x:v>
      </x:c>
      <x:c r="C125" s="1" t="n">
        <x:v>0.02789800755782798</x:v>
      </x:c>
      <x:c r="D125" s="1" t="n">
        <x:v>0.026105950042369975</x:v>
      </x:c>
      <x:c r="E125" s="1" t="n">
        <x:v>0.026523042159109677</x:v>
      </x:c>
      <x:c r="F125" s="1" t="n">
        <x:v>0.025466334591542877</x:v>
      </x:c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</x:row>
    <x:row r="126" ht="15" hidden="0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</x:row>
    <x:row r="127" ht="15" hidden="0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</x:row>
    <x:row r="128" ht="15" hidden="0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</x:row>
    <x:row r="129" ht="15" hidden="0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</x:row>
    <x:row r="130" ht="15" hidden="0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</x:row>
    <x:row r="131" ht="15" hidden="0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</x:row>
    <x:row r="132" ht="15" hidden="0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</x:row>
    <x:row r="133" ht="15" hidden="0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</x:row>
    <x:row r="134" ht="15" hidden="0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</x:row>
    <x:row r="135" ht="15" hidden="0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</x:row>
    <x:row r="136" ht="15" hidden="0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</x:row>
    <x:row r="137" ht="15" hidden="0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</x:row>
    <x:row r="138" ht="15" hidden="0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</x:row>
    <x:row r="139" ht="15" hidden="0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</x:row>
    <x:row r="140" ht="15" hidden="0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</x:row>
    <x:row r="141" ht="15" hidden="0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</x:row>
    <x:row r="142" ht="15" hidden="0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</x:row>
    <x:row r="143" ht="15" hidden="0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</x:row>
    <x:row r="144" ht="15" hidden="0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</x:row>
    <x:row r="145" ht="15" hidden="0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</x:row>
    <x:row r="146" ht="15" hidden="0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</x:row>
    <x:row r="147" ht="15" hidden="0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</x:row>
    <x:row r="148" ht="15" hidden="0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</x:row>
    <x:row r="149" ht="15" hidden="0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</x:row>
    <x:row r="150" ht="15" hidden="0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</x:row>
    <x:row r="151" ht="15" hidden="0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</x:row>
    <x:row r="152" ht="15" hidden="0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</x:row>
    <x:row r="153" ht="15" hidden="0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</x:row>
    <x:row r="154" ht="15" hidden="0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</x:row>
    <x:row r="155" ht="15" hidden="0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</x:row>
    <x:row r="156" ht="15" hidden="0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</x:row>
    <x:row r="157" ht="15" hidden="0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</x:row>
    <x:row r="158" ht="15" hidden="0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</x:row>
    <x:row r="159" ht="15" hidden="0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</x:row>
    <x:row r="160" ht="15" hidden="0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</x:row>
    <x:row r="161" ht="15" hidden="0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</x:row>
    <x:row r="162" ht="15" hidden="0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</x:row>
    <x:row r="163" ht="15" hidden="0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</x:row>
    <x:row r="164" ht="15" hidden="0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</x:row>
    <x:row r="165" ht="15" hidden="0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</x:row>
    <x:row r="166" ht="15" hidden="0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</x:row>
    <x:row r="167" ht="15" hidden="0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</x:row>
    <x:row r="168" ht="15" hidden="0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</x:row>
    <x:row r="169" ht="15" hidden="0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</x:row>
    <x:row r="170" ht="15" hidden="0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</x:row>
    <x:row r="171" ht="15" hidden="0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</x:row>
    <x:row r="172" ht="15" hidden="0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</x:row>
    <x:row r="173" ht="15" hidden="0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</x:row>
    <x:row r="174" ht="15" hidden="0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</x:row>
    <x:row r="175" ht="15" hidden="0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</x:row>
    <x:row r="176" ht="15" hidden="0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</x:row>
    <x:row r="177" ht="15" hidden="0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</x:row>
    <x:row r="178" ht="15" hidden="0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</x:row>
    <x:row r="179" ht="15" hidden="0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</x:row>
    <x:row r="180" ht="15" hidden="0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</x:row>
    <x:row r="181" ht="15" hidden="0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</x:row>
    <x:row r="182" ht="15" hidden="0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</x:row>
    <x:row r="183" ht="15" hidden="0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</x:row>
    <x:row r="184" ht="15" hidden="0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</x:row>
    <x:row r="185" ht="15" hidden="0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</x:row>
    <x:row r="186" ht="15" hidden="0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</x:row>
    <x:row r="187" ht="15" hidden="0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</x:row>
    <x:row r="188" ht="15" hidden="0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</x:row>
    <x:row r="189" ht="15" hidden="0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</x:row>
    <x:row r="190" ht="15" hidden="0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</x:row>
    <x:row r="191" ht="15" hidden="0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</x:row>
    <x:row r="192" ht="15" hidden="0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</x:row>
    <x:row r="193" ht="15" hidden="0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</x:row>
    <x:row r="194" ht="15" hidden="0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</x:row>
    <x:row r="195" ht="15" hidden="0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</x:row>
    <x:row r="196" ht="15" hidden="0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</x:row>
    <x:row r="197" ht="15" hidden="0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</x:row>
    <x:row r="198" ht="15" hidden="0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</x:row>
    <x:row r="199" ht="15" hidden="0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</x:row>
    <x:row r="200" ht="15" hidden="0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</x:row>
    <x:row r="201" ht="15" hidden="0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</x:row>
    <x:row r="202" ht="15" hidden="0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</x:row>
    <x:row r="203" ht="15" hidden="0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</x:row>
    <x:row r="204" ht="15" hidden="0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</x:row>
    <x:row r="205" ht="15" hidden="0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</x:row>
    <x:row r="206" ht="15" hidden="0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</x:row>
    <x:row r="207" ht="15" hidden="0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</x:row>
    <x:row r="208" ht="15" hidden="0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</x:row>
    <x:row r="209" ht="15" hidden="0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</x:row>
    <x:row r="210" ht="15" hidden="0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</x:row>
    <x:row r="211" ht="15" hidden="0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</x:row>
    <x:row r="212" ht="15" hidden="0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</x:row>
    <x:row r="213" ht="15" hidden="0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</x:row>
    <x:row r="214" ht="15" hidden="0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</x:row>
    <x:row r="215" ht="15" hidden="0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</x:row>
    <x:row r="216" ht="15" hidden="0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</x:row>
    <x:row r="217" ht="15" hidden="0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</x:row>
    <x:row r="218" ht="15" hidden="0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</x:row>
    <x:row r="219" ht="15" hidden="0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</x:row>
    <x:row r="220" ht="15" hidden="0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</x:row>
    <x:row r="221" ht="15" hidden="0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</x:row>
    <x:row r="222" ht="15" hidden="0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</x:row>
    <x:row r="223" ht="15" hidden="0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</x:row>
    <x:row r="224" ht="15" hidden="0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</x:row>
    <x:row r="225" ht="15" hidden="0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</x:row>
    <x:row r="226" ht="15" hidden="0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</x:row>
    <x:row r="227" ht="15" hidden="0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</x:row>
    <x:row r="228" ht="15" hidden="0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</x:row>
    <x:row r="229" ht="15" hidden="0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</x:row>
    <x:row r="230" ht="15" hidden="0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</x:row>
    <x:row r="231" ht="15" hidden="0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</x:row>
    <x:row r="232" ht="15" hidden="0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</x:row>
    <x:row r="233" ht="15" hidden="0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</x:row>
    <x:row r="234" ht="15" hidden="0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</x:row>
    <x:row r="235" ht="15" hidden="0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</x:row>
    <x:row r="236" ht="15" hidden="0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</x:row>
    <x:row r="237" ht="15" hidden="0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</x:row>
    <x:row r="238" ht="15" hidden="0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</x:row>
    <x:row r="239" ht="15" hidden="0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</x:row>
    <x:row r="240" ht="15" hidden="0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</x:row>
  </x:sheetData>
  <x:pageMargins left="0.7" right="0.7" top="0.75" bottom="0.75" header="0.3" footer="0.3"/>
  <x:drawing xmlns:r="http://schemas.openxmlformats.org/officeDocument/2006/relationships" r:id="R969e14feb0754b9d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.75" hidden="0" customWidth="1"/>
    <x:col min="2" max="2" width="10.630000114440918" hidden="0" customWidth="1"/>
    <x:col min="3" max="3" width="10.630000114440918" hidden="0" customWidth="1"/>
    <x:col min="4" max="4" width="10.630000114440918" hidden="0" customWidth="1"/>
    <x:col min="5" max="5" width="10.630000114440918" hidden="0" customWidth="1"/>
    <x:col min="6" max="6" width="10.630000114440918" hidden="0" customWidth="1"/>
  </x:cols>
  <x:sheetData>
    <x:row r="1" ht="15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19.200000762939453" hidden="0" customHeight="1">
      <x:c r="A2" s="2" t="str">
        <x:v>I-V curves: gap label 30 um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15" hidden="0" customHeight="1">
      <x:c r="A3" s="3" t="str">
        <x:v>Rows 1-5 compared in the -0.4 V to +0.8 V display window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15" hidden="0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</x:row>
    <x:row r="5" ht="15" hidden="0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15" hidden="0" customHeight="1">
      <x:c r="A6" s="9" t="str">
        <x:v>Voltage (V)</x:v>
      </x:c>
      <x:c r="B6" s="9" t="str">
        <x:v>Row 1</x:v>
      </x:c>
      <x:c r="C6" s="9" t="str">
        <x:v>Row 2</x:v>
      </x:c>
      <x:c r="D6" s="9" t="str">
        <x:v>Row 3</x:v>
      </x:c>
      <x:c r="E6" s="9" t="str">
        <x:v>Row 4</x:v>
      </x:c>
      <x:c r="F6" s="9" t="str">
        <x:v>Row 5</x:v>
      </x:c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15" hidden="0" customHeight="1">
      <x:c r="A7" s="1" t="n">
        <x:v>-0.4</x:v>
      </x:c>
      <x:c r="B7" s="1" t="n">
        <x:v>3.625712100731376e-8</x:v>
      </x:c>
      <x:c r="C7" s="1" t="n">
        <x:v>-1.765730862559596e-7</x:v>
      </x:c>
      <x:c r="D7" s="1" t="n">
        <x:v>-0.000027890103801749008</x:v>
      </x:c>
      <x:c r="E7" s="1" t="n">
        <x:v>-0.000020064599680435697</x:v>
      </x:c>
      <x:c r="F7" s="1" t="n">
        <x:v>-0.000007471313973009941</x:v>
      </x:c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15" hidden="0" customHeight="1">
      <x:c r="A8" s="1" t="n">
        <x:v>-0.3900003</x:v>
      </x:c>
      <x:c r="B8" s="1" t="n">
        <x:v>3.625712100731376e-8</x:v>
      </x:c>
      <x:c r="C8" s="1" t="n">
        <x:v>-1.59231379744288e-7</x:v>
      </x:c>
      <x:c r="D8" s="1" t="n">
        <x:v>-0.000027436066580096447</x:v>
      </x:c>
      <x:c r="E8" s="1" t="n">
        <x:v>-0.000019642096358174413</x:v>
      </x:c>
      <x:c r="F8" s="1" t="n">
        <x:v>-0.000007360956642825323</x:v>
      </x:c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15" hidden="0" customHeight="1">
      <x:c r="A9" s="1" t="n">
        <x:v>-0.3799992</x:v>
      </x:c>
      <x:c r="B9" s="1" t="n">
        <x:v>8.670570826448443e-8</x:v>
      </x:c>
      <x:c r="C9" s="1" t="n">
        <x:v>-1.718435247901924e-7</x:v>
      </x:c>
      <x:c r="D9" s="1" t="n">
        <x:v>-0.00002705297709529774</x:v>
      </x:c>
      <x:c r="E9" s="1" t="n">
        <x:v>-0.000019386698652606593</x:v>
      </x:c>
      <x:c r="F9" s="1" t="n">
        <x:v>-0.000007412982625333807</x:v>
      </x:c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15" hidden="0" customHeight="1">
      <x:c r="A10" s="1" t="n">
        <x:v>-0.3699994</x:v>
      </x:c>
      <x:c r="B10" s="1" t="n">
        <x:v>2.679801222288545e-8</x:v>
      </x:c>
      <x:c r="C10" s="1" t="n">
        <x:v>-1.718435247901924e-7</x:v>
      </x:c>
      <x:c r="D10" s="1" t="n">
        <x:v>-0.000026679337877342183</x:v>
      </x:c>
      <x:c r="E10" s="1" t="n">
        <x:v>-0.000019011489105879192</x:v>
      </x:c>
      <x:c r="F10" s="1" t="n">
        <x:v>-0.000007264788860011477</x:v>
      </x:c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15" hidden="0" customHeight="1">
      <x:c r="A11" s="1" t="n">
        <x:v>-0.3600003</x:v>
      </x:c>
      <x:c r="B11" s="1" t="n">
        <x:v>-1.5793282775055367e-9</x:v>
      </x:c>
      <x:c r="C11" s="1" t="n">
        <x:v>-2.0967991748658747e-7</x:v>
      </x:c>
      <x:c r="D11" s="1" t="n">
        <x:v>-0.00002624894046990354</x:v>
      </x:c>
      <x:c r="E11" s="1" t="n">
        <x:v>-0.00001863627955915179</x:v>
      </x:c>
      <x:c r="F11" s="1" t="n">
        <x:v>-0.000007159162322090853</x:v>
      </x:c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15" hidden="0" customHeight="1">
      <x:c r="A12" s="1" t="n">
        <x:v>-0.3499999</x:v>
      </x:c>
      <x:c r="B12" s="1" t="n">
        <x:v>-5.0451397403938164e-8</x:v>
      </x:c>
      <x:c r="C12" s="1" t="n">
        <x:v>-1.8918528789028824e-7</x:v>
      </x:c>
      <x:c r="D12" s="1" t="n">
        <x:v>-0.000025791762590707298</x:v>
      </x:c>
      <x:c r="E12" s="1" t="n">
        <x:v>-0.000018289434960059883</x:v>
      </x:c>
      <x:c r="F12" s="1" t="n">
        <x:v>-0.000007132362044384783</x:v>
      </x:c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15" hidden="0" customHeight="1">
      <x:c r="A13" s="1" t="n">
        <x:v>-0.3400002</x:v>
      </x:c>
      <x:c r="B13" s="1" t="n">
        <x:v>-1.1038437061933846e-8</x:v>
      </x:c>
      <x:c r="C13" s="1" t="n">
        <x:v>-1.765730862559596e-7</x:v>
      </x:c>
      <x:c r="D13" s="1" t="n">
        <x:v>-0.000025474881562234823</x:v>
      </x:c>
      <x:c r="E13" s="1" t="n">
        <x:v>-0.000017945759312723756</x:v>
      </x:c>
      <x:c r="F13" s="1" t="n">
        <x:v>-0.000007033040871631808</x:v>
      </x:c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15" hidden="0" customHeight="1">
      <x:c r="A14" s="1" t="n">
        <x:v>-0.3299997</x:v>
      </x:c>
      <x:c r="B14" s="1" t="n">
        <x:v>-5.0451397403938164e-8</x:v>
      </x:c>
      <x:c r="C14" s="1" t="n">
        <x:v>-2.2071565050504925e-7</x:v>
      </x:c>
      <x:c r="D14" s="1" t="n">
        <x:v>-0.000025042913826024344</x:v>
      </x:c>
      <x:c r="E14" s="1" t="n">
        <x:v>-0.000017635187893550744</x:v>
      </x:c>
      <x:c r="F14" s="1" t="n">
        <x:v>-0.000006977862913894802</x:v>
      </x:c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15" hidden="0" customHeight="1">
      <x:c r="A15" s="1" t="n">
        <x:v>-0.3200006</x:v>
      </x:c>
      <x:c r="B15" s="1" t="n">
        <x:v>-4.099228861950986e-8</x:v>
      </x:c>
      <x:c r="C15" s="1" t="n">
        <x:v>-9.617064036765988e-8</x:v>
      </x:c>
      <x:c r="D15" s="1" t="n">
        <x:v>-0.0000246393251845554</x:v>
      </x:c>
      <x:c r="E15" s="1" t="n">
        <x:v>-0.000017073943902231486</x:v>
      </x:c>
      <x:c r="F15" s="1" t="n">
        <x:v>-0.000006906919421172764</x:v>
      </x:c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15" hidden="0" customHeight="1">
      <x:c r="A16" s="1" t="n">
        <x:v>-0.3099989</x:v>
      </x:c>
      <x:c r="B16" s="1" t="n">
        <x:v>-3.7839252358033746e-8</x:v>
      </x:c>
      <x:c r="C16" s="1" t="n">
        <x:v>-1.7814959731314462e-7</x:v>
      </x:c>
      <x:c r="D16" s="1" t="n">
        <x:v>-0.00002429406506134138</x:v>
      </x:c>
      <x:c r="E16" s="1" t="n">
        <x:v>-0.000016809081782714465</x:v>
      </x:c>
      <x:c r="F16" s="1" t="n">
        <x:v>-0.00000688800191095921</x:v>
      </x:c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15" hidden="0" customHeight="1">
      <x:c r="A17" s="1" t="n">
        <x:v>-0.2999991</x:v>
      </x:c>
      <x:c r="B17" s="1" t="n">
        <x:v>-4.256879967669488e-8</x:v>
      </x:c>
      <x:c r="C17" s="1" t="n">
        <x:v>-2.112564709850907e-7</x:v>
      </x:c>
      <x:c r="D17" s="1" t="n">
        <x:v>-0.00002378326965020574</x:v>
      </x:c>
      <x:c r="E17" s="1" t="n">
        <x:v>-0.00001641023242177315</x:v>
      </x:c>
      <x:c r="F17" s="1" t="n">
        <x:v>-0.000006724044025362453</x:v>
      </x:c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15" hidden="0" customHeight="1">
      <x:c r="A18" s="1" t="n">
        <x:v>-0.2900014</x:v>
      </x:c>
      <x:c r="B18" s="1" t="n">
        <x:v>-6.308875596166669e-9</x:v>
      </x:c>
      <x:c r="C18" s="1" t="n">
        <x:v>-1.6553745226724023e-7</x:v>
      </x:c>
      <x:c r="D18" s="1" t="n">
        <x:v>-0.00002340806010347834</x:v>
      </x:c>
      <x:c r="E18" s="1" t="n">
        <x:v>-0.000016227352781831023</x:v>
      </x:c>
      <x:c r="F18" s="1" t="n">
        <x:v>-0.000006698819735270644</x:v>
      </x:c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15" hidden="0" customHeight="1">
      <x:c r="A19" s="1" t="n">
        <x:v>-0.2800003</x:v>
      </x:c>
      <x:c r="B19" s="1" t="n">
        <x:v>2.2068450757118266e-8</x:v>
      </x:c>
      <x:c r="C19" s="1" t="n">
        <x:v>-1.466192346983836e-7</x:v>
      </x:c>
      <x:c r="D19" s="1" t="n">
        <x:v>-0.00002289253955892113</x:v>
      </x:c>
      <x:c r="E19" s="1" t="n">
        <x:v>-0.000015787505107549235</x:v>
      </x:c>
      <x:c r="F19" s="1" t="n">
        <x:v>-0.000006608957317624447</x:v>
      </x:c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15" hidden="0" customHeight="1">
      <x:c r="A20" s="1" t="n">
        <x:v>-0.2699992</x:v>
      </x:c>
      <x:c r="B20" s="1" t="n">
        <x:v>-5.8333980984075405e-8</x:v>
      </x:c>
      <x:c r="C20" s="1" t="n">
        <x:v>-1.8130263357462073e-7</x:v>
      </x:c>
      <x:c r="D20" s="1" t="n">
        <x:v>-0.000022558314178428143</x:v>
      </x:c>
      <x:c r="E20" s="1" t="n">
        <x:v>-0.00001543436504626391</x:v>
      </x:c>
      <x:c r="F20" s="1" t="n">
        <x:v>-0.000006591615795025155</x:v>
      </x:c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15" hidden="0" customHeight="1">
      <x:c r="A21" s="1" t="n">
        <x:v>-0.2600007</x:v>
      </x:c>
      <x:c r="B21" s="1" t="n">
        <x:v>-4.732364538981646e-9</x:v>
      </x:c>
      <x:c r="C21" s="1" t="n">
        <x:v>-2.427868335998517e-7</x:v>
      </x:c>
      <x:c r="D21" s="1" t="n">
        <x:v>-0.00002205382837659197</x:v>
      </x:c>
      <x:c r="E21" s="1" t="n">
        <x:v>-0.00001508280097259285</x:v>
      </x:c>
      <x:c r="F21" s="1" t="n">
        <x:v>-0.000006440270054474301</x:v>
      </x:c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15" hidden="0" customHeight="1">
      <x:c r="A22" s="1" t="n">
        <x:v>-0.249999</x:v>
      </x:c>
      <x:c r="B22" s="1" t="n">
        <x:v>-5.8333980984075405e-8</x:v>
      </x:c>
      <x:c r="C22" s="1" t="n">
        <x:v>-1.3716012591395527e-7</x:v>
      </x:c>
      <x:c r="D22" s="1" t="n">
        <x:v>-0.00002175744650478973</x:v>
      </x:c>
      <x:c r="E22" s="1" t="n">
        <x:v>-0.000014747002433906818</x:v>
      </x:c>
      <x:c r="F22" s="1" t="n">
        <x:v>-0.000006482835867165403</x:v>
      </x:c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15" hidden="0" customHeight="1">
      <x:c r="A23" s="1" t="n">
        <x:v>-0.2399999</x:v>
      </x:c>
      <x:c r="B23" s="1" t="n">
        <x:v>-3.1533165687975484e-8</x:v>
      </x:c>
      <x:c r="C23" s="1" t="n">
        <x:v>-1.4819574575556862e-7</x:v>
      </x:c>
      <x:c r="D23" s="1" t="n">
        <x:v>-0.00002118675224662732</x:v>
      </x:c>
      <x:c r="E23" s="1" t="n">
        <x:v>-0.000014475842022775175</x:v>
      </x:c>
      <x:c r="F23" s="1" t="n">
        <x:v>-0.0000062763121688775435</x:v>
      </x:c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15" hidden="0" customHeight="1">
      <x:c r="A24" s="1" t="n">
        <x:v>-0.2300001</x:v>
      </x:c>
      <x:c r="B24" s="1" t="n">
        <x:v>-7.885400800457736e-9</x:v>
      </x:c>
      <x:c r="C24" s="1" t="n">
        <x:v>-1.513487820170447e-7</x:v>
      </x:c>
      <x:c r="D24" s="1" t="n">
        <x:v>-0.0000208162678333215</x:v>
      </x:c>
      <x:c r="E24" s="1" t="n">
        <x:v>-0.000013999732486259331</x:v>
      </x:c>
      <x:c r="F24" s="1" t="n">
        <x:v>-0.000006318877981568645</x:v>
      </x:c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15" hidden="0" customHeight="1">
      <x:c r="A25" s="1" t="n">
        <x:v>-0.219999</x:v>
      </x:c>
      <x:c r="B25" s="1" t="n">
        <x:v>-7.725222684714413e-8</x:v>
      </x:c>
      <x:c r="C25" s="1" t="n">
        <x:v>-1.5607834348281193e-7</x:v>
      </x:c>
      <x:c r="D25" s="1" t="n">
        <x:v>-0.00002027236819402274</x:v>
      </x:c>
      <x:c r="E25" s="1" t="n">
        <x:v>-0.000013708077162589269</x:v>
      </x:c>
      <x:c r="F25" s="1" t="n">
        <x:v>-0.000006192756531109601</x:v>
      </x:c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15" hidden="0" customHeight="1">
      <x:c r="A26" s="1" t="n">
        <x:v>-0.2099993</x:v>
      </x:c>
      <x:c r="B26" s="1" t="n">
        <x:v>-4.572183593817099e-8</x:v>
      </x:c>
      <x:c r="C26" s="1" t="n">
        <x:v>-1.7814959731314462e-7</x:v>
      </x:c>
      <x:c r="D26" s="1" t="n">
        <x:v>-0.000019823056105791755</x:v>
      </x:c>
      <x:c r="E26" s="1" t="n">
        <x:v>-0.000013265074683657746</x:v>
      </x:c>
      <x:c r="F26" s="1" t="n">
        <x:v>-0.000006151768120743365</x:v>
      </x:c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15" hidden="0" customHeight="1">
      <x:c r="A27" s="1" t="n">
        <x:v>-0.2000009</x:v>
      </x:c>
      <x:c r="B27" s="1" t="n">
        <x:v>-3.1533165687975484e-8</x:v>
      </x:c>
      <x:c r="C27" s="1" t="n">
        <x:v>-1.7499656105166854e-7</x:v>
      </x:c>
      <x:c r="D27" s="1" t="n">
        <x:v>-0.000019421051940200705</x:v>
      </x:c>
      <x:c r="E27" s="1" t="n">
        <x:v>-0.000012861486042188807</x:v>
      </x:c>
      <x:c r="F27" s="1" t="n">
        <x:v>-0.000006035105425391098</x:v>
      </x:c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15" hidden="0" customHeight="1">
      <x:c r="A28" s="1" t="n">
        <x:v>-0.1899998</x:v>
      </x:c>
      <x:c r="B28" s="1" t="n">
        <x:v>-9.461911857642778e-9</x:v>
      </x:c>
      <x:c r="C28" s="1" t="n">
        <x:v>-1.9549136041324045e-7</x:v>
      </x:c>
      <x:c r="D28" s="1" t="n">
        <x:v>-0.000018818809635540975</x:v>
      </x:c>
      <x:c r="E28" s="1" t="n">
        <x:v>-0.000012520958125949387</x:v>
      </x:c>
      <x:c r="F28" s="1" t="n">
        <x:v>-0.00000591844273003883</x:v>
      </x:c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15" hidden="0" customHeight="1">
      <x:c r="A29" s="1" t="n">
        <x:v>-0.1800007</x:v>
      </x:c>
      <x:c r="B29" s="1" t="n">
        <x:v>-3.941576341521879e-8</x:v>
      </x:c>
      <x:c r="C29" s="1" t="n">
        <x:v>-2.033738449636353e-7</x:v>
      </x:c>
      <x:c r="D29" s="1" t="n">
        <x:v>-0.00001830014843344008</x:v>
      </x:c>
      <x:c r="E29" s="1" t="n">
        <x:v>-0.000012090569206774377</x:v>
      </x:c>
      <x:c r="F29" s="1" t="n">
        <x:v>-0.00000589637182988615</x:v>
      </x:c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15" hidden="0" customHeight="1">
      <x:c r="A30" s="1" t="n">
        <x:v>-0.1699996</x:v>
      </x:c>
      <x:c r="B30" s="1" t="n">
        <x:v>-4.88748721996471e-8</x:v>
      </x:c>
      <x:c r="C30" s="1" t="n">
        <x:v>-1.3085405339100308e-7</x:v>
      </x:c>
      <x:c r="D30" s="1" t="n">
        <x:v>-0.000017812992836518356</x:v>
      </x:c>
      <x:c r="E30" s="1" t="n">
        <x:v>-0.000011742158523042441</x:v>
      </x:c>
      <x:c r="F30" s="1" t="n">
        <x:v>-0.000005705612251872717</x:v>
      </x:c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15" hidden="0" customHeight="1">
      <x:c r="A31" s="1" t="n">
        <x:v>-0.1600005</x:v>
      </x:c>
      <x:c r="B31" s="1" t="n">
        <x:v>-2.803073214460977e-12</x:v>
      </x:c>
      <x:c r="C31" s="1" t="n">
        <x:v>-1.4346619843690748e-7</x:v>
      </x:c>
      <x:c r="D31" s="1" t="n">
        <x:v>-0.000017292747158539567</x:v>
      </x:c>
      <x:c r="E31" s="1" t="n">
        <x:v>-0.00001140163060680302</x:v>
      </x:c>
      <x:c r="F31" s="1" t="n">
        <x:v>-0.000005702460276644195</x:v>
      </x:c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15" hidden="0" customHeight="1">
      <x:c r="A32" s="1" t="n">
        <x:v>-0.1500007</x:v>
      </x:c>
      <x:c r="B32" s="1" t="n">
        <x:v>-3.310969089226657e-8</x:v>
      </x:c>
      <x:c r="C32" s="1" t="n">
        <x:v>-1.1193583582214646e-7</x:v>
      </x:c>
      <x:c r="D32" s="1" t="n">
        <x:v>-0.00001671889809572743</x:v>
      </x:c>
      <x:c r="E32" s="1" t="n">
        <x:v>-0.000011191953518576034</x:v>
      </x:c>
      <x:c r="F32" s="1" t="n">
        <x:v>-0.000005595256336398705</x:v>
      </x:c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15" hidden="0" customHeight="1">
      <x:c r="A33" s="1" t="n">
        <x:v>-0.1400003</x:v>
      </x:c>
      <x:c r="B33" s="1" t="n">
        <x:v>-4.4145324880985965e-8</x:v>
      </x:c>
      <x:c r="C33" s="1" t="n">
        <x:v>-9.301760410618377e-8</x:v>
      </x:c>
      <x:c r="D33" s="1" t="n">
        <x:v>-0.000016220707756084666</x:v>
      </x:c>
      <x:c r="E33" s="1" t="n">
        <x:v>-0.000010633865746617114</x:v>
      </x:c>
      <x:c r="F33" s="1" t="n">
        <x:v>-0.0000055400783786616986</x:v>
      </x:c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15" hidden="0" customHeight="1">
      <x:c r="A34" s="1" t="n">
        <x:v>-0.1299999</x:v>
      </x:c>
      <x:c r="B34" s="1" t="n">
        <x:v>-5.51809447225993e-8</x:v>
      </x:c>
      <x:c r="C34" s="1" t="n">
        <x:v>-1.1035931061785539e-7</x:v>
      </x:c>
      <x:c r="D34" s="1" t="n">
        <x:v>-0.00001555542594685449</x:v>
      </x:c>
      <x:c r="E34" s="1" t="n">
        <x:v>-0.000010362705335485471</x:v>
      </x:c>
      <x:c r="F34" s="1" t="n">
        <x:v>-0.000005382425858232591</x:v>
      </x:c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15" hidden="0" customHeight="1">
      <x:c r="A35" s="1" t="n">
        <x:v>-0.1199995</x:v>
      </x:c>
      <x:c r="B35" s="1" t="n">
        <x:v>-7.882878034564731e-8</x:v>
      </x:c>
      <x:c r="C35" s="1" t="n">
        <x:v>-1.3716012591395527e-7</x:v>
      </x:c>
      <x:c r="D35" s="1" t="n">
        <x:v>-0.000014924815865138059</x:v>
      </x:c>
      <x:c r="E35" s="1" t="n">
        <x:v>-0.00000995911669401653</x:v>
      </x:c>
      <x:c r="F35" s="1" t="n">
        <x:v>-0.000005350896202973133</x:v>
      </x:c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15" hidden="0" customHeight="1">
      <x:c r="A36" s="1" t="n">
        <x:v>-0.1100004</x:v>
      </x:c>
      <x:c r="B36" s="1" t="n">
        <x:v>-6.308875596166669e-9</x:v>
      </x:c>
      <x:c r="C36" s="1" t="n">
        <x:v>-1.1351234687933148e-7</x:v>
      </x:c>
      <x:c r="D36" s="1" t="n">
        <x:v>-0.000014198040830028993</x:v>
      </x:c>
      <x:c r="E36" s="1" t="n">
        <x:v>-0.000009345850964320603</x:v>
      </x:c>
      <x:c r="F36" s="1" t="n">
        <x:v>-0.00000518063153749812</x:v>
      </x:c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15" hidden="0" customHeight="1">
      <x:c r="A37" s="1" t="n">
        <x:v>-0.09999994</x:v>
      </x:c>
      <x:c r="B37" s="1" t="n">
        <x:v>1.1032830915504932e-8</x:v>
      </x:c>
      <x:c r="C37" s="1" t="n">
        <x:v>-1.466192346983836e-7</x:v>
      </x:c>
      <x:c r="D37" s="1" t="n">
        <x:v>-0.000013501219462565122</x:v>
      </x:c>
      <x:c r="E37" s="1" t="n">
        <x:v>-0.000009115678963555197</x:v>
      </x:c>
      <x:c r="F37" s="1" t="n">
        <x:v>-0.000004978837216763649</x:v>
      </x:c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15" hidden="0" customHeight="1">
      <x:c r="A38" s="1" t="n">
        <x:v>-0.09000018</x:v>
      </x:c>
      <x:c r="B38" s="1" t="n">
        <x:v>1.5762378234166057e-8</x:v>
      </x:c>
      <x:c r="C38" s="1" t="n">
        <x:v>-8.513502052604655e-8</x:v>
      </x:c>
      <x:c r="D38" s="1" t="n">
        <x:v>-0.000012656205744489525</x:v>
      </x:c>
      <x:c r="E38" s="1" t="n">
        <x:v>-0.000008554437801657147</x:v>
      </x:c>
      <x:c r="F38" s="1" t="n">
        <x:v>-0.000004810149953613504</x:v>
      </x:c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15" hidden="0" customHeight="1">
      <x:c r="A39" s="1" t="n">
        <x:v>-0.07999976</x:v>
      </x:c>
      <x:c r="B39" s="1" t="n">
        <x:v>-3.310969089226657e-8</x:v>
      </x:c>
      <x:c r="C39" s="1" t="n">
        <x:v>-1.2770101712952695e-7</x:v>
      </x:c>
      <x:c r="D39" s="1" t="n">
        <x:v>-0.000011691375941122535</x:v>
      </x:c>
      <x:c r="E39" s="1" t="n">
        <x:v>-0.000008034187879546544</x:v>
      </x:c>
      <x:c r="F39" s="1" t="n">
        <x:v>-0.000004643038678077619</x:v>
      </x:c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15" hidden="0" customHeight="1">
      <x:c r="A40" s="1" t="n">
        <x:v>-0.07</x:v>
      </x:c>
      <x:c r="B40" s="1" t="n">
        <x:v>-2.0497545846362153e-8</x:v>
      </x:c>
      <x:c r="C40" s="1" t="n">
        <x:v>-1.4819574575556862e-7</x:v>
      </x:c>
      <x:c r="D40" s="1" t="n">
        <x:v>-0.000010740735685126316</x:v>
      </x:c>
      <x:c r="E40" s="1" t="n">
        <x:v>-0.000007611680313153442</x:v>
      </x:c>
      <x:c r="F40" s="1" t="n">
        <x:v>-0.0000043624195118392</x:v>
      </x:c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15" hidden="0" customHeight="1">
      <x:c r="A41" s="1" t="n">
        <x:v>-0.06000024</x:v>
      </x:c>
      <x:c r="B41" s="1" t="n">
        <x:v>6.463445019001989e-8</x:v>
      </x:c>
      <x:c r="C41" s="1" t="n">
        <x:v>-1.1508887208362256e-7</x:v>
      </x:c>
      <x:c r="D41" s="1" t="n">
        <x:v>-0.000009569382183471466</x:v>
      </x:c>
      <x:c r="E41" s="1" t="n">
        <x:v>-0.0000069873784260258714</x:v>
      </x:c>
      <x:c r="F41" s="1" t="n">
        <x:v>-0.000004159047788779863</x:v>
      </x:c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15" hidden="0" customHeight="1">
      <x:c r="A42" s="1" t="n">
        <x:v>-0.05000048</x:v>
      </x:c>
      <x:c r="B42" s="1" t="n">
        <x:v>1.7338903438457132e-8</x:v>
      </x:c>
      <x:c r="C42" s="1" t="n">
        <x:v>-1.623844160057641e-7</x:v>
      </x:c>
      <x:c r="D42" s="1" t="n">
        <x:v>-0.000008264025878575662</x:v>
      </x:c>
      <x:c r="E42" s="1" t="n">
        <x:v>-0.000006290558473272607</x:v>
      </x:c>
      <x:c r="F42" s="1" t="n">
        <x:v>-0.0000035489354490230623</x:v>
      </x:c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15" hidden="0" customHeight="1">
      <x:c r="A43" s="1" t="n">
        <x:v>-0.04000006</x:v>
      </x:c>
      <x:c r="B43" s="1" t="n">
        <x:v>-1.892102064207109e-8</x:v>
      </x:c>
      <x:c r="C43" s="1" t="n">
        <x:v>-7.882894800309434e-8</x:v>
      </x:c>
      <x:c r="D43" s="1" t="n">
        <x:v>-0.000006750567058356527</x:v>
      </x:c>
      <x:c r="E43" s="1" t="n">
        <x:v>-0.000005445544755197012</x:v>
      </x:c>
      <x:c r="F43" s="1" t="n">
        <x:v>-0.0000032225956654438085</x:v>
      </x:c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15" hidden="0" customHeight="1">
      <x:c r="A44" s="1" t="n">
        <x:v>-0.0300003</x:v>
      </x:c>
      <x:c r="B44" s="1" t="n">
        <x:v>7.882311619608358e-8</x:v>
      </x:c>
      <x:c r="C44" s="1" t="n">
        <x:v>-4.0992501151577285e-8</x:v>
      </x:c>
      <x:c r="D44" s="1" t="n">
        <x:v>-0.000004880816201623546</x:v>
      </x:c>
      <x:c r="E44" s="1" t="n">
        <x:v>-0.00000448071495183002</x:v>
      </x:c>
      <x:c r="F44" s="1" t="n">
        <x:v>-0.000002511586165319773</x:v>
      </x:c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15" hidden="0" customHeight="1">
      <x:c r="A45" s="1" t="n">
        <x:v>-0.01999987</x:v>
      </x:c>
      <x:c r="B45" s="1" t="n">
        <x:v>3.310408474583766e-8</x:v>
      </x:c>
      <x:c r="C45" s="1" t="n">
        <x:v>-7.094635027585105e-8</x:v>
      </x:c>
      <x:c r="D45" s="1" t="n">
        <x:v>-0.0000027020684986212104</x:v>
      </x:c>
      <x:c r="E45" s="1" t="n">
        <x:v>-0.000003339315117820369</x:v>
      </x:c>
      <x:c r="F45" s="1" t="n">
        <x:v>-0.0000016854908062840943</x:v>
      </x:c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15" hidden="0" customHeight="1">
      <x:c r="A46" s="1" t="n">
        <x:v>-0.01000011</x:v>
      </x:c>
      <x:c r="B46" s="1" t="n">
        <x:v>1.8915414495642167e-8</x:v>
      </x:c>
      <x:c r="C46" s="1" t="n">
        <x:v>-9.462136103514011e-9</x:v>
      </x:c>
      <x:c r="D46" s="1" t="n">
        <x:v>8.407261252238049e-11</x:v>
      </x:c>
      <x:c r="E46" s="1" t="n">
        <x:v>-0.000001844776071351756</x:v>
      </x:c>
      <x:c r="F46" s="1" t="n">
        <x:v>-1.926062152308892e-10</x:v>
      </x:c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15" hidden="0" customHeight="1">
      <x:c r="A47" s="1" t="n">
        <x:v>-3.555944e-7</x:v>
      </x:c>
      <x:c r="B47" s="1" t="n">
        <x:v>-2.803073214460977e-12</x:v>
      </x:c>
      <x:c r="C47" s="1" t="n">
        <x:v>-3.02731908569909e-12</x:v>
      </x:c>
      <x:c r="D47" s="1" t="n">
        <x:v>0.000003197263407633534</x:v>
      </x:c>
      <x:c r="E47" s="1" t="n">
        <x:v>-2.496461816446357e-10</x:v>
      </x:c>
      <x:c r="F47" s="1" t="n">
        <x:v>0.0000018837470905332178</x:v>
      </x:c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15" hidden="0" customHeight="1">
      <x:c r="A48" s="1" t="n">
        <x:v>0.009999403</x:v>
      </x:c>
      <x:c r="B48" s="1" t="n">
        <x:v>7.882311619608358e-8</x:v>
      </x:c>
      <x:c r="C48" s="1" t="n">
        <x:v>8.512896588787517e-8</x:v>
      </x:c>
      <x:c r="D48" s="1" t="n">
        <x:v>0.000007157476952047519</x:v>
      </x:c>
      <x:c r="E48" s="1" t="n">
        <x:v>0.000002441778105467847</x:v>
      </x:c>
      <x:c r="F48" s="1" t="n">
        <x:v>0.000003874890020171854</x:v>
      </x:c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15" hidden="0" customHeight="1">
      <x:c r="A49" s="1" t="n">
        <x:v>0.02000116</x:v>
      </x:c>
      <x:c r="B49" s="1" t="n">
        <x:v>1.0562393290689409e-7</x:v>
      </x:c>
      <x:c r="C49" s="1" t="n">
        <x:v>1.7656705991200032e-7</x:v>
      </x:c>
      <x:c r="D49" s="1" t="n">
        <x:v>0.000012054144034508165</x:v>
      </x:c>
      <x:c r="E49" s="1" t="n">
        <x:v>0.000005536483019267817</x:v>
      </x:c>
      <x:c r="F49" s="1" t="n">
        <x:v>0.0000070547265593540275</x:v>
      </x:c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15" hidden="0" customHeight="1">
      <x:c r="A50" s="1" t="n">
        <x:v>0.02999959</x:v>
      </x:c>
      <x:c r="B50" s="1" t="n">
        <x:v>1.387308207259462e-7</x:v>
      </x:c>
      <x:c r="C50" s="1" t="n">
        <x:v>2.616989682363249e-7</x:v>
      </x:c>
      <x:c r="D50" s="1" t="n">
        <x:v>0.000018150535225101568</x:v>
      </x:c>
      <x:c r="E50" s="1" t="n">
        <x:v>0.00000979465866723012</x:v>
      </x:c>
      <x:c r="F50" s="1" t="n">
        <x:v>0.00001192932274166199</x:v>
      </x:c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15" hidden="0" customHeight="1">
      <x:c r="A51" s="1" t="n">
        <x:v>0.03999935</x:v>
      </x:c>
      <x:c r="B51" s="1" t="n">
        <x:v>2.2070973523011277e-7</x:v>
      </x:c>
      <x:c r="C51" s="1" t="n">
        <x:v>4.0831518976272883e-7</x:v>
      </x:c>
      <x:c r="D51" s="1" t="n">
        <x:v>0.000025881787211794007</x:v>
      </x:c>
      <x:c r="E51" s="1" t="n">
        <x:v>0.000014901005667338964</x:v>
      </x:c>
      <x:c r="F51" s="1" t="n">
        <x:v>0.00001794059220984743</x:v>
      </x:c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15" hidden="0" customHeight="1">
      <x:c r="A52" s="1" t="n">
        <x:v>0.05000044</x:v>
      </x:c>
      <x:c r="B52" s="1" t="n">
        <x:v>3.1057130404994686e-7</x:v>
      </x:c>
      <x:c r="C52" s="1" t="n">
        <x:v>6.053799914727504e-7</x:v>
      </x:c>
      <x:c r="D52" s="1" t="n">
        <x:v>0.00003517379037952885</x:v>
      </x:c>
      <x:c r="E52" s="1" t="n">
        <x:v>0.0000220237057400722</x:v>
      </x:c>
      <x:c r="F52" s="1" t="n">
        <x:v>0.000025331309206747417</x:v>
      </x:c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15" hidden="0" customHeight="1">
      <x:c r="A53" s="1" t="n">
        <x:v>0.05999886</x:v>
      </x:c>
      <x:c r="B53" s="1" t="n">
        <x:v>4.3826930800749423e-7</x:v>
      </x:c>
      <x:c r="C53" s="1" t="n">
        <x:v>9.490610147091759e-7</x:v>
      </x:c>
      <x:c r="D53" s="1" t="n">
        <x:v>0.00004672967004622702</x:v>
      </x:c>
      <x:c r="E53" s="1" t="n">
        <x:v>0.000031383501840011164</x:v>
      </x:c>
      <x:c r="F53" s="1" t="n">
        <x:v>0.000037350676361941294</x:v>
      </x:c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15" hidden="0" customHeight="1">
      <x:c r="A54" s="1" t="n">
        <x:v>0.06999929</x:v>
      </x:c>
      <x:c r="B54" s="1" t="n">
        <x:v>6.148393386501559e-7</x:v>
      </x:c>
      <x:c r="C54" s="1" t="n">
        <x:v>0.0000012927420379456016</x:v>
      </x:c>
      <x:c r="D54" s="1" t="n">
        <x:v>0.00006175072772234615</x:v>
      </x:c>
      <x:c r="E54" s="1" t="n">
        <x:v>0.00004285898350301234</x:v>
      </x:c>
      <x:c r="F54" s="1" t="n">
        <x:v>0.00004991237282766209</x:v>
      </x:c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15" hidden="0" customHeight="1">
      <x:c r="A55" s="1" t="n">
        <x:v>0.08000038</x:v>
      </x:c>
      <x:c r="B55" s="1" t="n">
        <x:v>8.639292740422985e-7</x:v>
      </x:c>
      <x:c r="C55" s="1" t="n">
        <x:v>0.0000018902420911854367</x:v>
      </x:c>
      <x:c r="D55" s="1" t="n">
        <x:v>0.00007950548728943589</x:v>
      </x:c>
      <x:c r="E55" s="1" t="n">
        <x:v>0.00005790526546922328</x:v>
      </x:c>
      <x:c r="F55" s="1" t="n">
        <x:v>0.000065500998251506</x:v>
      </x:c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15" hidden="0" customHeight="1">
      <x:c r="A56" s="1" t="n">
        <x:v>0.08999947</x:v>
      </x:c>
      <x:c r="B56" s="1" t="n">
        <x:v>0.0000011902686332083704</x:v>
      </x:c>
      <x:c r="C56" s="1" t="n">
        <x:v>0.000003671707932597087</x:v>
      </x:c>
      <x:c r="D56" s="1" t="n">
        <x:v>0.00010213798511108788</x:v>
      </x:c>
      <x:c r="E56" s="1" t="n">
        <x:v>0.00007783403911763016</x:v>
      </x:c>
      <x:c r="F56" s="1" t="n">
        <x:v>0.00008465883950268178</x:v>
      </x:c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15" hidden="0" customHeight="1">
      <x:c r="A57" s="1" t="n">
        <x:v>0.0999999</x:v>
      </x:c>
      <x:c r="B57" s="1" t="n">
        <x:v>0.0000016695301449527384</x:v>
      </x:c>
      <x:c r="C57" s="1" t="n">
        <x:v>0.000004557711475749523</x:v>
      </x:c>
      <x:c r="D57" s="1" t="n">
        <x:v>0.0001295946319495748</x:v>
      </x:c>
      <x:c r="E57" s="1" t="n">
        <x:v>0.00010054851941885702</x:v>
      </x:c>
      <x:c r="F57" s="1" t="n">
        <x:v>0.00011167091353346534</x:v>
      </x:c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15" hidden="0" customHeight="1">
      <x:c r="A58" s="1" t="n">
        <x:v>0.109999</x:v>
      </x:c>
      <x:c r="B58" s="1" t="n">
        <x:v>0.0000023300910648931566</x:v>
      </x:c>
      <x:c r="C58" s="1" t="n">
        <x:v>0.000005949776808352399</x:v>
      </x:c>
      <x:c r="D58" s="1" t="n">
        <x:v>0.00016206615908869802</x:v>
      </x:c>
      <x:c r="E58" s="1" t="n">
        <x:v>0.00013172258716768302</x:v>
      </x:c>
      <x:c r="F58" s="1" t="n">
        <x:v>0.00014247448272187947</x:v>
      </x:c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15" hidden="0" customHeight="1">
      <x:c r="A59" s="1" t="n">
        <x:v>0.1200001</x:v>
      </x:c>
      <x:c r="B59" s="1" t="n">
        <x:v>0.0000033485228383828918</x:v>
      </x:c>
      <x:c r="C59" s="1" t="n">
        <x:v>0.000008554185467686962</x:v>
      </x:c>
      <x:c r="D59" s="1" t="n">
        <x:v>0.0002049143480166099</x:v>
      </x:c>
      <x:c r="E59" s="1" t="n">
        <x:v>0.0001695306997990789</x:v>
      </x:c>
      <x:c r="F59" s="1" t="n">
        <x:v>0.00018085643026898146</x:v>
      </x:c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15" hidden="0" customHeight="1">
      <x:c r="A60" s="1" t="n">
        <x:v>0.1299998</x:v>
      </x:c>
      <x:c r="B60" s="1" t="n">
        <x:v>0.000004655456545603563</x:v>
      </x:c>
      <x:c r="C60" s="1" t="n">
        <x:v>0.00001279186761782145</x:v>
      </x:c>
      <x:c r="D60" s="1" t="n">
        <x:v>0.0002517370249189429</x:v>
      </x:c>
      <x:c r="E60" s="1" t="n">
        <x:v>0.00021396477931548871</x:v>
      </x:c>
      <x:c r="F60" s="1" t="n">
        <x:v>0.0002228216983081498</x:v>
      </x:c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15" hidden="0" customHeight="1">
      <x:c r="A61" s="1" t="n">
        <x:v>0.1399996</x:v>
      </x:c>
      <x:c r="B61" s="1" t="n">
        <x:v>0.000006758531378330472</x:v>
      </x:c>
      <x:c r="C61" s="1" t="n">
        <x:v>0.00001698697971113302</x:v>
      </x:c>
      <x:c r="D61" s="1" t="n">
        <x:v>0.00030799667038473183</x:v>
      </x:c>
      <x:c r="E61" s="1" t="n">
        <x:v>0.0002650487060319292</x:v>
      </x:c>
      <x:c r="F61" s="1" t="n">
        <x:v>0.00027207060389850587</x:v>
      </x:c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15" hidden="0" customHeight="1">
      <x:c r="A62" s="1" t="n">
        <x:v>0.15</x:v>
      </x:c>
      <x:c r="B62" s="1" t="n">
        <x:v>0.000009426000762894558</x:v>
      </x:c>
      <x:c r="C62" s="1" t="n">
        <x:v>0.00002376601828363618</x:v>
      </x:c>
      <x:c r="D62" s="1" t="n">
        <x:v>0.0003785190037595836</x:v>
      </x:c>
      <x:c r="E62" s="1" t="n">
        <x:v>0.00033374705302341754</x:v>
      </x:c>
      <x:c r="F62" s="1" t="n">
        <x:v>0.0003299809336985137</x:v>
      </x:c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15" hidden="0" customHeight="1">
      <x:c r="A63" s="1" t="n">
        <x:v>0.1600004</x:v>
      </x:c>
      <x:c r="B63" s="1" t="n">
        <x:v>0.000013468193957462223</x:v>
      </x:c>
      <x:c r="C63" s="1" t="n">
        <x:v>0.00003298076410521771</x:v>
      </x:c>
      <x:c r="D63" s="1" t="n">
        <x:v>0.0004546080818950779</x:v>
      </x:c>
      <x:c r="E63" s="1" t="n">
        <x:v>0.00039970708616736216</x:v>
      </x:c>
      <x:c r="F63" s="1" t="n">
        <x:v>0.0003969103265491833</x:v>
      </x:c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15" hidden="0" customHeight="1">
      <x:c r="A64" s="1" t="n">
        <x:v>0.1699995</x:v>
      </x:c>
      <x:c r="B64" s="1" t="n">
        <x:v>0.00001904275782362016</x:v>
      </x:c>
      <x:c r="C64" s="1" t="n">
        <x:v>0.00004772750939497668</x:v>
      </x:c>
      <x:c r="D64" s="1" t="n">
        <x:v>0.0005370189358412428</x:v>
      </x:c>
      <x:c r="E64" s="1" t="n">
        <x:v>0.0004814086042160491</x:v>
      </x:c>
      <x:c r="F64" s="1" t="n">
        <x:v>0.00046887524032821994</x:v>
      </x:c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15" hidden="0" customHeight="1">
      <x:c r="A65" s="1" t="n">
        <x:v>0.18</x:v>
      </x:c>
      <x:c r="B65" s="1" t="n">
        <x:v>0.000027081426424835876</x:v>
      </x:c>
      <x:c r="C65" s="1" t="n">
        <x:v>0.00006479017838686654</x:v>
      </x:c>
      <x:c r="D65" s="1" t="n">
        <x:v>0.0006429909460916716</x:v>
      </x:c>
      <x:c r="E65" s="1" t="n">
        <x:v>0.0005710225986799625</x:v>
      </x:c>
      <x:c r="F65" s="1" t="n">
        <x:v>0.0005523929638519414</x:v>
      </x:c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15" hidden="0" customHeight="1">
      <x:c r="A66" s="1" t="n">
        <x:v>0.1900011</x:v>
      </x:c>
      <x:c r="B66" s="1" t="n">
        <x:v>0.00003851906457914631</x:v>
      </x:c>
      <x:c r="C66" s="1" t="n">
        <x:v>0.0000913103716873068</x:v>
      </x:c>
      <x:c r="D66" s="1" t="n">
        <x:v>0.000749940379899275</x:v>
      </x:c>
      <x:c r="E66" s="1" t="n">
        <x:v>0.000674322362068113</x:v>
      </x:c>
      <x:c r="F66" s="1" t="n">
        <x:v>0.000640993318167185</x:v>
      </x:c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15" hidden="0" customHeight="1">
      <x:c r="A67" s="1" t="n">
        <x:v>0.1999995</x:v>
      </x:c>
      <x:c r="B67" s="1" t="n">
        <x:v>0.0000547824362261696</x:v>
      </x:c>
      <x:c r="C67" s="1" t="n">
        <x:v>0.0001238024121302063</x:v>
      </x:c>
      <x:c r="D67" s="1" t="n">
        <x:v>0.0008701216019978875</x:v>
      </x:c>
      <x:c r="E67" s="1" t="n">
        <x:v>0.0007808761013194251</x:v>
      </x:c>
      <x:c r="F67" s="1" t="n">
        <x:v>0.0007417470268790467</x:v>
      </x:c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15" hidden="0" customHeight="1">
      <x:c r="A68" s="1" t="n">
        <x:v>0.2099999</x:v>
      </x:c>
      <x:c r="B68" s="1" t="n">
        <x:v>0.00007625303222772048</x:v>
      </x:c>
      <x:c r="C68" s="1" t="n">
        <x:v>0.00016666945915048634</x:v>
      </x:c>
      <x:c r="D68" s="1" t="n">
        <x:v>0.0010027477503488627</x:v>
      </x:c>
      <x:c r="E68" s="1" t="n">
        <x:v>0.0009015270073389844</x:v>
      </x:c>
      <x:c r="F68" s="1" t="n">
        <x:v>0.0008589342969237448</x:v>
      </x:c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15" hidden="0" customHeight="1">
      <x:c r="A69" s="1" t="n">
        <x:v>0.2200003</x:v>
      </x:c>
      <x:c r="B69" s="1" t="n">
        <x:v>0.00010723792487441092</x:v>
      </x:c>
      <x:c r="C69" s="1" t="n">
        <x:v>0.00022278565296090177</x:v>
      </x:c>
      <x:c r="D69" s="1" t="n">
        <x:v>0.0011499993184080895</x:v>
      </x:c>
      <x:c r="E69" s="1" t="n">
        <x:v>0.0010338095224839414</x:v>
      </x:c>
      <x:c r="F69" s="1" t="n">
        <x:v>0.0009971082329132519</x:v>
      </x:c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15" hidden="0" customHeight="1">
      <x:c r="A70" s="1" t="n">
        <x:v>0.2300001</x:v>
      </x:c>
      <x:c r="B70" s="1" t="n">
        <x:v>0.00014757788848761876</x:v>
      </x:c>
      <x:c r="C70" s="1" t="n">
        <x:v>0.0002934988307964032</x:v>
      </x:c>
      <x:c r="D70" s="1" t="n">
        <x:v>0.0013047597459468615</x:v>
      </x:c>
      <x:c r="E70" s="1" t="n">
        <x:v>0.001166730496525053</x:v>
      </x:c>
      <x:c r="F70" s="1" t="n">
        <x:v>0.0011305605722576996</x:v>
      </x:c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 ht="15" hidden="0" customHeight="1">
      <x:c r="A71" s="1" t="n">
        <x:v>0.2400012</x:v>
      </x:c>
      <x:c r="B71" s="1" t="n">
        <x:v>0.00020297045782344305</x:v>
      </x:c>
      <x:c r="C71" s="1" t="n">
        <x:v>0.00038054795493297787</x:v>
      </x:c>
      <x:c r="D71" s="1" t="n">
        <x:v>0.0014675039513153655</x:v>
      </x:c>
      <x:c r="E71" s="1" t="n">
        <x:v>0.0013174251872553647</x:v>
      </x:c>
      <x:c r="F71" s="1" t="n">
        <x:v>0.0012845075411984464</x:v>
      </x:c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 ht="15" hidden="0" customHeight="1">
      <x:c r="A72" s="1" t="n">
        <x:v>0.2500016</x:v>
      </x:c>
      <x:c r="B72" s="1" t="n">
        <x:v>0.00026998501625254937</x:v>
      </x:c>
      <x:c r="C72" s="1" t="n">
        <x:v>0.0004813772091911607</x:v>
      </x:c>
      <x:c r="D72" s="1" t="n">
        <x:v>0.0016452496064709994</x:v>
      </x:c>
      <x:c r="E72" s="1" t="n">
        <x:v>0.0014677199392975691</x:v>
      </x:c>
      <x:c r="F72" s="1" t="n">
        <x:v>0.0014523564468439147</x:v>
      </x:c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 ht="15" hidden="0" customHeight="1">
      <x:c r="A73" s="1" t="n">
        <x:v>0.2600014</x:v>
      </x:c>
      <x:c r="B73" s="1" t="n">
        <x:v>0.00035840414613925905</x:v>
      </x:c>
      <x:c r="C73" s="1" t="n">
        <x:v>0.0006027503249747059</x:v>
      </x:c>
      <x:c r="D73" s="1" t="n">
        <x:v>0.001837711081342561</x:v>
      </x:c>
      <x:c r="E73" s="1" t="n">
        <x:v>0.0016314415682232477</x:v>
      </x:c>
      <x:c r="F73" s="1" t="n">
        <x:v>0.0016596157946465093</x:v>
      </x:c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 ht="15" hidden="0" customHeight="1">
      <x:c r="A74" s="1" t="n">
        <x:v>0.2700011</x:v>
      </x:c>
      <x:c r="B74" s="1" t="n">
        <x:v>0.00046856171918641375</x:v>
      </x:c>
      <x:c r="C74" s="1" t="n">
        <x:v>0.0007481793213611745</x:v>
      </x:c>
      <x:c r="D74" s="1" t="n">
        <x:v>0.0020245165432142883</x:v>
      </x:c>
      <x:c r="E74" s="1" t="n">
        <x:v>0.0017934570561589811</x:v>
      </x:c>
      <x:c r="F74" s="1" t="n">
        <x:v>0.0018276155084424985</x:v>
      </x:c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 ht="15" hidden="0" customHeight="1">
      <x:c r="A75" s="1" t="n">
        <x:v>0.2800009</x:v>
      </x:c>
      <x:c r="B75" s="1" t="n">
        <x:v>0.0005995436908719541</x:v>
      </x:c>
      <x:c r="C75" s="1" t="n">
        <x:v>0.0009007816078716206</x:v>
      </x:c>
      <x:c r="D75" s="1" t="n">
        <x:v>0.0022345614561986426</x:v>
      </x:c>
      <x:c r="E75" s="1" t="n">
        <x:v>0.0019716851276310094</x:v>
      </x:c>
      <x:c r="F75" s="1" t="n">
        <x:v>0.0020422709632893997</x:v>
      </x:c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 ht="15" hidden="0" customHeight="1">
      <x:c r="A76" s="1" t="n">
        <x:v>0.29</x:v>
      </x:c>
      <x:c r="B76" s="1" t="n">
        <x:v>0.0007524375492381443</x:v>
      </x:c>
      <x:c r="C76" s="1" t="n">
        <x:v>0.0010832778612397218</x:v>
      </x:c>
      <x:c r="D76" s="1" t="n">
        <x:v>0.0024477470267266774</x:v>
      </x:c>
      <x:c r="E76" s="1" t="n">
        <x:v>0.0021479354336768823</x:v>
      </x:c>
      <x:c r="F76" s="1" t="n">
        <x:v>0.002284067641098238</x:v>
      </x:c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 ht="15" hidden="0" customHeight="1">
      <x:c r="A77" s="1" t="n">
        <x:v>0.3000011</x:v>
      </x:c>
      <x:c r="B77" s="1" t="n">
        <x:v>0.0009263401430345861</x:v>
      </x:c>
      <x:c r="C77" s="1" t="n">
        <x:v>0.001268006386471865</x:v>
      </x:c>
      <x:c r="D77" s="1" t="n">
        <x:v>0.0026815760544066846</x:v>
      </x:c>
      <x:c r="E77" s="1" t="n">
        <x:v>0.002335306779790714</x:v>
      </x:c>
      <x:c r="F77" s="1" t="n">
        <x:v>0.0025200003434482695</x:v>
      </x:c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 ht="15" hidden="0" customHeight="1">
      <x:c r="A78" s="1" t="n">
        <x:v>0.3100022</x:v>
      </x:c>
      <x:c r="B78" s="1" t="n">
        <x:v>0.0011158533610047833</x:v>
      </x:c>
      <x:c r="C78" s="1" t="n">
        <x:v>0.0014944480783133187</x:v>
      </x:c>
      <x:c r="D78" s="1" t="n">
        <x:v>0.002909021907835753</x:v>
      </x:c>
      <x:c r="E78" s="1" t="n">
        <x:v>0.002529059885444879</x:v>
      </x:c>
      <x:c r="F78" s="1" t="n">
        <x:v>0.002758217803425797</x:v>
      </x:c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 ht="15" hidden="0" customHeight="1">
      <x:c r="A79" s="1" t="n">
        <x:v>0.3199999</x:v>
      </x:c>
      <x:c r="B79" s="1" t="n">
        <x:v>0.001332675162201521</x:v>
      </x:c>
      <x:c r="C79" s="1" t="n">
        <x:v>0.0017055158270652773</x:v>
      </x:c>
      <x:c r="D79" s="1" t="n">
        <x:v>0.003144508976345127</x:v>
      </x:c>
      <x:c r="E79" s="1" t="n">
        <x:v>0.0027240253980877534</x:v>
      </x:c>
      <x:c r="F79" s="1" t="n">
        <x:v>0.0030500457217897017</x:v>
      </x:c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 ht="15" hidden="0" customHeight="1">
      <x:c r="A80" s="1" t="n">
        <x:v>0.3300017</x:v>
      </x:c>
      <x:c r="B80" s="1" t="n">
        <x:v>0.001557438724323014</x:v>
      </x:c>
      <x:c r="C80" s="1" t="n">
        <x:v>0.0019374972426948135</x:v>
      </x:c>
      <x:c r="D80" s="1" t="n">
        <x:v>0.0033776971401209507</x:v>
      </x:c>
      <x:c r="E80" s="1" t="n">
        <x:v>0.0029226012521952546</x:v>
      </x:c>
      <x:c r="F80" s="1" t="n">
        <x:v>0.0033328492012026445</x:v>
      </x:c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 ht="15" hidden="0" customHeight="1">
      <x:c r="A81" s="1" t="n">
        <x:v>0.3400014</x:v>
      </x:c>
      <x:c r="B81" s="1" t="n">
        <x:v>0.0017986369795458272</x:v>
      </x:c>
      <x:c r="C81" s="1" t="n">
        <x:v>0.0021839016329449883</x:v>
      </x:c>
      <x:c r="D81" s="1" t="n">
        <x:v>0.003621639933917971</x:v>
      </x:c>
      <x:c r="E81" s="1" t="n">
        <x:v>0.003125834333615276</x:v>
      </x:c>
      <x:c r="F81" s="1" t="n">
        <x:v>0.0036298775957514895</x:v>
      </x:c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 ht="15" hidden="0" customHeight="1">
      <x:c r="A82" s="1" t="n">
        <x:v>0.3500019</x:v>
      </x:c>
      <x:c r="B82" s="1" t="n">
        <x:v>0.002053550854086649</x:v>
      </x:c>
      <x:c r="C82" s="1" t="n">
        <x:v>0.002438657059898021</x:v>
      </x:c>
      <x:c r="D82" s="1" t="n">
        <x:v>0.003897512746075738</x:v>
      </x:c>
      <x:c r="E82" s="1" t="n">
        <x:v>0.003338379040239127</x:v>
      </x:c>
      <x:c r="F82" s="1" t="n">
        <x:v>0.003924233601966996</x:v>
      </x:c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 ht="15" hidden="0" customHeight="1">
      <x:c r="A83" s="1" t="n">
        <x:v>0.3599996</x:v>
      </x:c>
      <x:c r="B83" s="1" t="n">
        <x:v>0.002321598901886716</x:v>
      </x:c>
      <x:c r="C83" s="1" t="n">
        <x:v>0.0027046495331886434</x:v>
      </x:c>
      <x:c r="D83" s="1" t="n">
        <x:v>0.00414733649185883</x:v>
      </x:c>
      <x:c r="E83" s="1" t="n">
        <x:v>0.0035509902382614257</x:v>
      </x:c>
      <x:c r="F83" s="1" t="n">
        <x:v>0.004256434531583847</x:v>
      </x:c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 ht="15" hidden="0" customHeight="1">
      <x:c r="A84" s="1" t="n">
        <x:v>0.3700007</x:v>
      </x:c>
      <x:c r="B84" s="1" t="n">
        <x:v>0.002603795470450002</x:v>
      </x:c>
      <x:c r="C84" s="1" t="n">
        <x:v>0.0029755439787264967</x:v>
      </x:c>
      <x:c r="D84" s="1" t="n">
        <x:v>0.004411107869499192</x:v>
      </x:c>
      <x:c r="E84" s="1" t="n">
        <x:v>0.003767199045352904</x:v>
      </x:c>
      <x:c r="F84" s="1" t="n">
        <x:v>0.004566326889666333</x:v>
      </x:c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 ht="15" hidden="0" customHeight="1">
      <x:c r="A85" s="1" t="n">
        <x:v>0.3800005</x:v>
      </x:c>
      <x:c r="B85" s="1" t="n">
        <x:v>0.002890681804669729</x:v>
      </x:c>
      <x:c r="C85" s="1" t="n">
        <x:v>0.0032583120903743076</x:v>
      </x:c>
      <x:c r="D85" s="1" t="n">
        <x:v>0.004687062734872066</x:v>
      </x:c>
      <x:c r="E85" s="1" t="n">
        <x:v>0.003987485048408745</x:v>
      </x:c>
      <x:c r="F85" s="1" t="n">
        <x:v>0.004921914400298759</x:v>
      </x:c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 ht="15" hidden="0" customHeight="1">
      <x:c r="A86" s="1" t="n">
        <x:v>0.3900009</x:v>
      </x:c>
      <x:c r="B86" s="1" t="n">
        <x:v>0.0031824404022139756</x:v>
      </x:c>
      <x:c r="C86" s="1" t="n">
        <x:v>0.0035502645032714753</x:v>
      </x:c>
      <x:c r="D86" s="1" t="n">
        <x:v>0.004941049973966441</x:v>
      </x:c>
      <x:c r="E86" s="1" t="n">
        <x:v>0.004222733030825829</x:v>
      </x:c>
      <x:c r="F86" s="1" t="n">
        <x:v>0.005255312175087661</x:v>
      </x:c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 ht="15" hidden="0" customHeight="1">
      <x:c r="A87" s="1" t="n">
        <x:v>0.4000007</x:v>
      </x:c>
      <x:c r="B87" s="1" t="n">
        <x:v>0.003487381273178047</x:v>
      </x:c>
      <x:c r="C87" s="1" t="n">
        <x:v>0.0038446473889884817</x:v>
      </x:c>
      <x:c r="D87" s="1" t="n">
        <x:v>0.005220851437475019</x:v>
      </x:c>
      <x:c r="E87" s="1" t="n">
        <x:v>0.004438085938001123</x:v>
      </x:c>
      <x:c r="F87" s="1" t="n">
        <x:v>0.0056416102235391</x:v>
      </x:c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 ht="15" hidden="0" customHeight="1">
      <x:c r="A88" s="1" t="n">
        <x:v>0.4099997</x:v>
      </x:c>
      <x:c r="B88" s="1" t="n">
        <x:v>0.003789314469395333</x:v>
      </x:c>
      <x:c r="C88" s="1" t="n">
        <x:v>0.004139265116665961</x:v>
      </x:c>
      <x:c r="D88" s="1" t="n">
        <x:v>0.005495786296501498</x:v>
      </x:c>
      <x:c r="E88" s="1" t="n">
        <x:v>0.004676863623378335</x:v>
      </x:c>
      <x:c r="F88" s="1" t="n">
        <x:v>0.006017897779747708</x:v>
      </x:c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 ht="15" hidden="0" customHeight="1">
      <x:c r="A89" s="1" t="n">
        <x:v>0.4200008</x:v>
      </x:c>
      <x:c r="B89" s="1" t="n">
        <x:v>0.004100605976266422</x:v>
      </x:c>
      <x:c r="C89" s="1" t="n">
        <x:v>0.004438165173345567</x:v>
      </x:c>
      <x:c r="D89" s="1" t="n">
        <x:v>0.005763971571230276</x:v>
      </x:c>
      <x:c r="E89" s="1" t="n">
        <x:v>0.004905350703812876</x:v>
      </x:c>
      <x:c r="F89" s="1" t="n">
        <x:v>0.0064035450613207255</x:v>
      </x:c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 ht="15" hidden="0" customHeight="1">
      <x:c r="A90" s="1" t="n">
        <x:v>0.4300013</x:v>
      </x:c>
      <x:c r="B90" s="1" t="n">
        <x:v>0.004422558742258761</x:v>
      </x:c>
      <x:c r="C90" s="1" t="n">
        <x:v>0.004749548636405998</x:v>
      </x:c>
      <x:c r="D90" s="1" t="n">
        <x:v>0.006051014938327186</x:v>
      </x:c>
      <x:c r="E90" s="1" t="n">
        <x:v>0.005152019644946234</x:v>
      </x:c>
      <x:c r="F90" s="1" t="n">
        <x:v>0.006789391817089084</x:v>
      </x:c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 ht="15" hidden="0" customHeight="1">
      <x:c r="A91" s="1" t="n">
        <x:v>0.4400017</x:v>
      </x:c>
      <x:c r="B91" s="1" t="n">
        <x:v>0.00473639389879811</x:v>
      </x:c>
      <x:c r="C91" s="1" t="n">
        <x:v>0.005052104305289599</x:v>
      </x:c>
      <x:c r="D91" s="1" t="n">
        <x:v>0.006355215915644707</x:v>
      </x:c>
      <x:c r="E91" s="1" t="n">
        <x:v>0.005375292102089782</x:v>
      </x:c>
      <x:c r="F91" s="1" t="n">
        <x:v>0.007158934033131808</x:v>
      </x:c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 ht="15" hidden="0" customHeight="1">
      <x:c r="A92" s="1" t="n">
        <x:v>0.4500021</x:v>
      </x:c>
      <x:c r="B92" s="1" t="n">
        <x:v>0.005059754301842683</x:v>
      </x:c>
      <x:c r="C92" s="1" t="n">
        <x:v>0.005364775155000818</x:v>
      </x:c>
      <x:c r="D92" s="1" t="n">
        <x:v>0.006649959552566055</x:v>
      </x:c>
      <x:c r="E92" s="1" t="n">
        <x:v>0.00561995498358488</x:v>
      </x:c>
      <x:c r="F92" s="1" t="n">
        <x:v>0.007565233260120429</x:v>
      </x:c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 ht="15" hidden="0" customHeight="1">
      <x:c r="A93" s="1" t="n">
        <x:v>0.4599999</x:v>
      </x:c>
      <x:c r="B93" s="1" t="n">
        <x:v>0.005391155919967562</x:v>
      </x:c>
      <x:c r="C93" s="1" t="n">
        <x:v>0.005680452264748218</x:v>
      </x:c>
      <x:c r="D93" s="1" t="n">
        <x:v>0.006945727439965611</x:v>
      </x:c>
      <x:c r="E93" s="1" t="n">
        <x:v>0.005857176487296304</x:v>
      </x:c>
      <x:c r="F93" s="1" t="n">
        <x:v>0.007956296053890389</x:v>
      </x:c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 ht="15" hidden="0" customHeight="1">
      <x:c r="A94" s="1" t="n">
        <x:v>0.4700023</x:v>
      </x:c>
      <x:c r="B94" s="1" t="n">
        <x:v>0.005727898070627301</x:v>
      </x:c>
      <x:c r="C94" s="1" t="n">
        <x:v>0.006015775460670882</x:v>
      </x:c>
      <x:c r="D94" s="1" t="n">
        <x:v>0.007243375477759561</x:v>
      </x:c>
      <x:c r="E94" s="1" t="n">
        <x:v>0.0061084616291346315</x:v>
      </x:c>
      <x:c r="F94" s="1" t="n">
        <x:v>0.008386665167116924</x:v>
      </x:c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 ht="15" hidden="0" customHeight="1">
      <x:c r="A95" s="1" t="n">
        <x:v>0.4800001</x:v>
      </x:c>
      <x:c r="B95" s="1" t="n">
        <x:v>0.006062175795412676</x:v>
      </x:c>
      <x:c r="C95" s="1" t="n">
        <x:v>0.006314890553362486</x:v>
      </x:c>
      <x:c r="D95" s="1" t="n">
        <x:v>0.007555438001910517</x:v>
      </x:c>
      <x:c r="E95" s="1" t="n">
        <x:v>0.006350241330416206</x:v>
      </x:c>
      <x:c r="F95" s="1" t="n">
        <x:v>0.00880556805088782</x:v>
      </x:c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 ht="15" hidden="0" customHeight="1">
      <x:c r="A96" s="1" t="n">
        <x:v>0.4899998</x:v>
      </x:c>
      <x:c r="B96" s="1" t="n">
        <x:v>0.006401436130949781</x:v>
      </x:c>
      <x:c r="C96" s="1" t="n">
        <x:v>0.006651095113992226</x:v>
      </x:c>
      <x:c r="D96" s="1" t="n">
        <x:v>0.007836750376345515</x:v>
      </x:c>
      <x:c r="E96" s="1" t="n">
        <x:v>0.006608532119171787</x:v>
      </x:c>
      <x:c r="F96" s="1" t="n">
        <x:v>0.0092597990878933</x:v>
      </x:c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 ht="15" hidden="0" customHeight="1">
      <x:c r="A97" s="1" t="n">
        <x:v>0.4999989</x:v>
      </x:c>
      <x:c r="B97" s="1" t="n">
        <x:v>0.0067380523723656535</x:v>
      </x:c>
      <x:c r="C97" s="1" t="n">
        <x:v>0.006975298684557537</x:v>
      </x:c>
      <x:c r="D97" s="1" t="n">
        <x:v>0.008191006644298391</x:v>
      </x:c>
      <x:c r="E97" s="1" t="n">
        <x:v>0.006846278480517763</x:v>
      </x:c>
      <x:c r="F97" s="1" t="n">
        <x:v>0.009625148101702027</x:v>
      </x:c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 ht="15" hidden="0" customHeight="1">
      <x:c r="A98" s="1" t="n">
        <x:v>0.5100007</x:v>
      </x:c>
      <x:c r="B98" s="1" t="n">
        <x:v>0.0070912476073645815</x:v>
      </x:c>
      <x:c r="C98" s="1" t="n">
        <x:v>0.007301031557287133</x:v>
      </x:c>
      <x:c r="D98" s="1" t="n">
        <x:v>0.008463963737898714</x:v>
      </x:c>
      <x:c r="E98" s="1" t="n">
        <x:v>0.0071148669477690395</x:v>
      </x:c>
      <x:c r="F98" s="1" t="n">
        <x:v>0.010069070142526969</x:v>
      </x:c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 ht="15" hidden="0" customHeight="1">
      <x:c r="A99" s="1" t="n">
        <x:v>0.5199991</x:v>
      </x:c>
      <x:c r="B99" s="1" t="n">
        <x:v>0.007418731891823492</x:v>
      </x:c>
      <x:c r="C99" s="1" t="n">
        <x:v>0.00763914456252337</x:v>
      </x:c>
      <x:c r="D99" s="1" t="n">
        <x:v>0.008763296696023529</x:v>
      </x:c>
      <x:c r="E99" s="1" t="n">
        <x:v>0.007365398048854762</x:v>
      </x:c>
      <x:c r="F99" s="1" t="n">
        <x:v>0.01052483189640734</x:v>
      </x:c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 ht="15" hidden="0" customHeight="1">
      <x:c r="A100" s="1" t="n">
        <x:v>0.5300002</x:v>
      </x:c>
      <x:c r="B100" s="1" t="n">
        <x:v>0.0077753365793811</x:v>
      </x:c>
      <x:c r="C100" s="1" t="n">
        <x:v>0.007971560528152222</x:v>
      </x:c>
      <x:c r="D100" s="1" t="n">
        <x:v>0.009079812729159848</x:v>
      </x:c>
      <x:c r="E100" s="1" t="n">
        <x:v>0.007588956277540573</x:v>
      </x:c>
      <x:c r="F100" s="1" t="n">
        <x:v>0.010927367993185966</x:v>
      </x:c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  <x:row r="101" ht="15" hidden="0" customHeight="1">
      <x:c r="A101" s="1" t="n">
        <x:v>0.5400013</x:v>
      </x:c>
      <x:c r="B101" s="1" t="n">
        <x:v>0.008135633661618442</x:v>
      </x:c>
      <x:c r="C101" s="1" t="n">
        <x:v>0.008319156338575526</x:v>
      </x:c>
      <x:c r="D101" s="1" t="n">
        <x:v>0.009405200412501763</x:v>
      </x:c>
      <x:c r="E101" s="1" t="n">
        <x:v>0.007870724188790463</x:v>
      </x:c>
      <x:c r="F101" s="1" t="n">
        <x:v>0.011334946118561744</x:v>
      </x:c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</x:row>
    <x:row r="102" ht="15" hidden="0" customHeight="1">
      <x:c r="A102" s="1" t="n">
        <x:v>0.5500004</x:v>
      </x:c>
      <x:c r="B102" s="1" t="n">
        <x:v>0.008464573683290165</x:v>
      </x:c>
      <x:c r="C102" s="1" t="n">
        <x:v>0.008652773393508244</x:v>
      </x:c>
      <x:c r="D102" s="1" t="n">
        <x:v>0.009736633154259955</x:v>
      </x:c>
      <x:c r="E102" s="1" t="n">
        <x:v>0.008096060708707086</x:v>
      </x:c>
      <x:c r="F102" s="1" t="n">
        <x:v>0.011763930230105732</x:v>
      </x:c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</x:row>
    <x:row r="103" ht="15" hidden="0" customHeight="1">
      <x:c r="A103" s="1" t="n">
        <x:v>0.5600001</x:v>
      </x:c>
      <x:c r="B103" s="1" t="n">
        <x:v>0.008843532213121508</x:v>
      </x:c>
      <x:c r="C103" s="1" t="n">
        <x:v>0.00899186962261514</x:v>
      </x:c>
      <x:c r="D103" s="1" t="n">
        <x:v>0.010050841794399095</x:v>
      </x:c>
      <x:c r="E103" s="1" t="n">
        <x:v>0.008400884158690922</x:v>
      </x:c>
      <x:c r="F103" s="1" t="n">
        <x:v>0.012189726998656066</x:v>
      </x:c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</x:row>
    <x:row r="104" ht="15" hidden="0" customHeight="1">
      <x:c r="A104" s="1" t="n">
        <x:v>0.5700012</x:v>
      </x:c>
      <x:c r="B104" s="1" t="n">
        <x:v>0.009185071647443688</x:v>
      </x:c>
      <x:c r="C104" s="1" t="n">
        <x:v>0.009340495342359074</x:v>
      </x:c>
      <x:c r="D104" s="1" t="n">
        <x:v>0.01037519249486735</x:v>
      </x:c>
      <x:c r="E104" s="1" t="n">
        <x:v>0.008661347942936184</x:v>
      </x:c>
      <x:c r="F104" s="1" t="n">
        <x:v>0.01262319857223994</x:v>
      </x:c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</x:row>
    <x:row r="105" ht="15" hidden="0" customHeight="1">
      <x:c r="A105" s="1" t="n">
        <x:v>0.5800016</x:v>
      </x:c>
      <x:c r="B105" s="1" t="n">
        <x:v>0.009558576467891749</x:v>
      </x:c>
      <x:c r="C105" s="1" t="n">
        <x:v>0.009695443403797922</x:v>
      </x:c>
      <x:c r="D105" s="1" t="n">
        <x:v>0.010695988027584586</x:v>
      </x:c>
      <x:c r="E105" s="1" t="n">
        <x:v>0.008926215721295623</x:v>
      </x:c>
      <x:c r="F105" s="1" t="n">
        <x:v>0.013077319261818208</x:v>
      </x:c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</x:row>
    <x:row r="106" ht="15" hidden="0" customHeight="1">
      <x:c r="A106" s="1" t="n">
        <x:v>0.5899987</x:v>
      </x:c>
      <x:c r="B106" s="1" t="n">
        <x:v>0.009898691288634432</x:v>
      </x:c>
      <x:c r="C106" s="1" t="n">
        <x:v>0.010022189209320886</x:v>
      </x:c>
      <x:c r="D106" s="1" t="n">
        <x:v>0.011110742979860855</x:v>
      </x:c>
      <x:c r="E106" s="1" t="n">
        <x:v>0.009175854139989425</x:v>
      </x:c>
      <x:c r="F106" s="1" t="n">
        <x:v>0.013510213633475137</x:v>
      </x:c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</x:row>
    <x:row r="107" ht="15" hidden="0" customHeight="1">
      <x:c r="A107" s="1" t="n">
        <x:v>0.6000012</x:v>
      </x:c>
      <x:c r="B107" s="1" t="n">
        <x:v>0.01025868420809164</x:v>
      </x:c>
      <x:c r="C107" s="1" t="n">
        <x:v>0.010375586747936366</x:v>
      </x:c>
      <x:c r="D107" s="1" t="n">
        <x:v>0.01136432136759031</x:v>
      </x:c>
      <x:c r="E107" s="1" t="n">
        <x:v>0.009461229563282735</x:v>
      </x:c>
      <x:c r="F107" s="1" t="n">
        <x:v>0.014004727140254827</x:v>
      </x:c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</x:row>
    <x:row r="108" ht="15" hidden="0" customHeight="1">
      <x:c r="A108" s="1" t="n">
        <x:v>0.6099989</x:v>
      </x:c>
      <x:c r="B108" s="1" t="n">
        <x:v>0.010655100266791907</x:v>
      </x:c>
      <x:c r="C108" s="1" t="n">
        <x:v>0.010701244641003884</x:v>
      </x:c>
      <x:c r="D108" s="1" t="n">
        <x:v>0.011728192008816541</x:v>
      </x:c>
      <x:c r="E108" s="1" t="n">
        <x:v>0.009707051092763541</x:v>
      </x:c>
      <x:c r="F108" s="1" t="n">
        <x:v>0.014445741950785955</x:v>
      </x:c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</x:row>
    <x:row r="109" ht="15" hidden="0" customHeight="1">
      <x:c r="A109" s="1" t="n">
        <x:v>0.62</x:v>
      </x:c>
      <x:c r="B109" s="1" t="n">
        <x:v>0.010997368277075797</x:v>
      </x:c>
      <x:c r="C109" s="1" t="n">
        <x:v>0.011086019046133455</x:v>
      </x:c>
      <x:c r="D109" s="1" t="n">
        <x:v>0.012055722978725423</x:v>
      </x:c>
      <x:c r="E109" s="1" t="n">
        <x:v>0.010018925460403998</x:v>
      </x:c>
      <x:c r="F109" s="1" t="n">
        <x:v>0.01484241265739517</x:v>
      </x:c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</x:row>
    <x:row r="110" ht="15" hidden="0" customHeight="1">
      <x:c r="A110" s="1" t="n">
        <x:v>0.6300011</x:v>
      </x:c>
      <x:c r="B110" s="1" t="n">
        <x:v>0.011339499060430977</x:v>
      </x:c>
      <x:c r="C110" s="1" t="n">
        <x:v>0.011432361422960498</x:v>
      </x:c>
      <x:c r="D110" s="1" t="n">
        <x:v>0.012451779700931954</x:v>
      </x:c>
      <x:c r="E110" s="1" t="n">
        <x:v>0.0102770337514915</x:v>
      </x:c>
      <x:c r="F110" s="1" t="n">
        <x:v>0.01543755311481649</x:v>
      </x:c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</x:row>
    <x:row r="111" ht="15" hidden="0" customHeight="1">
      <x:c r="A111" s="1" t="n">
        <x:v>0.6400002</x:v>
      </x:c>
      <x:c r="B111" s="1" t="n">
        <x:v>0.011721850066293737</x:v>
      </x:c>
      <x:c r="C111" s="1" t="n">
        <x:v>0.011770338615978633</x:v>
      </x:c>
      <x:c r="D111" s="1" t="n">
        <x:v>0.01276945296734338</x:v>
      </x:c>
      <x:c r="E111" s="1" t="n">
        <x:v>0.010552313799905663</x:v>
      </x:c>
      <x:c r="F111" s="1" t="n">
        <x:v>0.01587304348043407</x:v>
      </x:c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</x:row>
    <x:row r="112" ht="15" hidden="0" customHeight="1">
      <x:c r="A112" s="1" t="n">
        <x:v>0.6500006</x:v>
      </x:c>
      <x:c r="B112" s="1" t="n">
        <x:v>0.012112966619066695</x:v>
      </x:c>
      <x:c r="C112" s="1" t="n">
        <x:v>0.012116819634444989</x:v>
      </x:c>
      <x:c r="D112" s="1" t="n">
        <x:v>0.013113611030995898</x:v>
      </x:c>
      <x:c r="E112" s="1" t="n">
        <x:v>0.010839787239026575</x:v>
      </x:c>
      <x:c r="F112" s="1" t="n">
        <x:v>0.016494299495628514</x:v>
      </x:c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</x:row>
    <x:row r="113" ht="15" hidden="0" customHeight="1">
      <x:c r="A113" s="1" t="n">
        <x:v>0.6600024</x:v>
      </x:c>
      <x:c r="B113" s="1" t="n">
        <x:v>0.012472577566660483</x:v>
      </x:c>
      <x:c r="C113" s="1" t="n">
        <x:v>0.012494746840245095</x:v>
      </x:c>
      <x:c r="D113" s="1" t="n">
        <x:v>0.013452049419671347</x:v>
      </x:c>
      <x:c r="E113" s="1" t="n">
        <x:v>0.011139414456957283</x:v>
      </x:c>
      <x:c r="F113" s="1" t="n">
        <x:v>0.0169135489834977</x:v>
      </x:c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</x:row>
    <x:row r="114" ht="15" hidden="0" customHeight="1">
      <x:c r="A114" s="1" t="n">
        <x:v>0.6700008</x:v>
      </x:c>
      <x:c r="B114" s="1" t="n">
        <x:v>0.01284885663460546</x:v>
      </x:c>
      <x:c r="C114" s="1" t="n">
        <x:v>0.012838668647226537</x:v>
      </x:c>
      <x:c r="D114" s="1" t="n">
        <x:v>0.01383034445022882</x:v>
      </x:c>
      <x:c r="E114" s="1" t="n">
        <x:v>0.011394413214134421</x:v>
      </x:c>
      <x:c r="F114" s="1" t="n">
        <x:v>0.01734983158705423</x:v>
      </x:c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</x:row>
    <x:row r="115" ht="15" hidden="0" customHeight="1">
      <x:c r="A115" s="1" t="n">
        <x:v>0.6799999</x:v>
      </x:c>
      <x:c r="B115" s="1" t="n">
        <x:v>0.01321870159871771</x:v>
      </x:c>
      <x:c r="C115" s="1" t="n">
        <x:v>0.013231419190748573</x:v>
      </x:c>
      <x:c r="D115" s="1" t="n">
        <x:v>0.014187994608923718</x:v>
      </x:c>
      <x:c r="E115" s="1" t="n">
        <x:v>0.011687340362638613</x:v>
      </x:c>
      <x:c r="F115" s="1" t="n">
        <x:v>0.017861942679052764</x:v>
      </x:c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</x:row>
    <x:row r="116" ht="15" hidden="0" customHeight="1">
      <x:c r="A116" s="1" t="n">
        <x:v>0.690001</x:v>
      </x:c>
      <x:c r="B116" s="1" t="n">
        <x:v>0.013574731913769582</x:v>
      </x:c>
      <x:c r="C116" s="1" t="n">
        <x:v>0.013565041904523711</x:v>
      </x:c>
      <x:c r="D116" s="1" t="n">
        <x:v>0.014530057486169845</x:v>
      </x:c>
      <x:c r="E116" s="1" t="n">
        <x:v>0.011972383328939686</x:v>
      </x:c>
      <x:c r="F116" s="1" t="n">
        <x:v>0.018388200877103914</x:v>
      </x:c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</x:row>
    <x:row r="117" ht="15" hidden="0" customHeight="1">
      <x:c r="A117" s="1" t="n">
        <x:v>0.7000001</x:v>
      </x:c>
      <x:c r="B117" s="1" t="n">
        <x:v>0.013938790711506312</x:v>
      </x:c>
      <x:c r="C117" s="1" t="n">
        <x:v>0.013935476802958353</x:v>
      </x:c>
      <x:c r="D117" s="1" t="n">
        <x:v>0.014963355050349273</x:v>
      </x:c>
      <x:c r="E117" s="1" t="n">
        <x:v>0.012248553230324557</x:v>
      </x:c>
      <x:c r="F117" s="1" t="n">
        <x:v>0.018835263575472532</x:v>
      </x:c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</x:row>
    <x:row r="118" ht="15" hidden="0" customHeight="1">
      <x:c r="A118" s="1" t="n">
        <x:v>0.7100005</x:v>
      </x:c>
      <x:c r="B118" s="1" t="n">
        <x:v>0.014343982220091013</x:v>
      </x:c>
      <x:c r="C118" s="1" t="n">
        <x:v>0.014349213163598835</x:v>
      </x:c>
      <x:c r="D118" s="1" t="n">
        <x:v>0.015278863809534646</x:v>
      </x:c>
      <x:c r="E118" s="1" t="n">
        <x:v>0.012557673156416573</x:v>
      </x:c>
      <x:c r="F118" s="1" t="n">
        <x:v>0.019320282959380316</x:v>
      </x:c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</x:row>
    <x:row r="119" ht="15" hidden="0" customHeight="1">
      <x:c r="A119" s="1" t="n">
        <x:v>0.7199509</x:v>
      </x:c>
      <x:c r="B119" s="1" t="n">
        <x:v>0.014692397147954764</x:v>
      </x:c>
      <x:c r="C119" s="1" t="n">
        <x:v>0.014673323363264195</x:v>
      </x:c>
      <x:c r="D119" s="1" t="n">
        <x:v>0.015690021152741738</x:v>
      </x:c>
      <x:c r="E119" s="1" t="n">
        <x:v>0.012868676062324188</x:v>
      </x:c>
      <x:c r="F119" s="1" t="n">
        <x:v>0.0198082873826652</x:v>
      </x:c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</x:row>
    <x:row r="120" ht="15" hidden="0" customHeight="1">
      <x:c r="A120" s="1" t="n">
        <x:v>0.73</x:v>
      </x:c>
      <x:c r="B120" s="1" t="n">
        <x:v>0.015103554491161854</x:v>
      </x:c>
      <x:c r="C120" s="1" t="n">
        <x:v>0.015010420606285858</x:v>
      </x:c>
      <x:c r="D120" s="1" t="n">
        <x:v>0.01605463451703573</x:v>
      </x:c>
      <x:c r="E120" s="1" t="n">
        <x:v>0.013162760444103484</x:v>
      </x:c>
      <x:c r="F120" s="1" t="n">
        <x:v>0.020305303512505594</x:v>
      </x:c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</x:row>
    <x:row r="121" ht="15" hidden="0" customHeight="1">
      <x:c r="A121" s="1" t="n">
        <x:v>0.7400025</x:v>
      </x:c>
      <x:c r="B121" s="1" t="n">
        <x:v>0.015511627765249473</x:v>
      </x:c>
      <x:c r="C121" s="1" t="n">
        <x:v>0.015391501202025091</x:v>
      </x:c>
      <x:c r="D121" s="1" t="n">
        <x:v>0.01649769358439146</x:v>
      </x:c>
      <x:c r="E121" s="1" t="n">
        <x:v>0.01344258312827114</x:v>
      </x:c>
      <x:c r="F121" s="1" t="n">
        <x:v>0.020846883026411724</x:v>
      </x:c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</x:row>
    <x:row r="122" ht="15" hidden="0" customHeight="1">
      <x:c r="A122" s="1" t="n">
        <x:v>0.7500009</x:v>
      </x:c>
      <x:c r="B122" s="1" t="n">
        <x:v>0.01589869258684896</x:v>
      </x:c>
      <x:c r="C122" s="1" t="n">
        <x:v>0.01576086799395276</x:v>
      </x:c>
      <x:c r="D122" s="1" t="n">
        <x:v>0.01681211301641078</x:v>
      </x:c>
      <x:c r="E122" s="1" t="n">
        <x:v>0.013754812588273517</x:v>
      </x:c>
      <x:c r="F122" s="1" t="n">
        <x:v>0.021362177217272096</x:v>
      </x:c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</x:row>
    <x:row r="123" ht="15" hidden="0" customHeight="1">
      <x:c r="A123" s="1" t="n">
        <x:v>0.759998</x:v>
      </x:c>
      <x:c r="B123" s="1" t="n">
        <x:v>0.01622677812331511</x:v>
      </x:c>
      <x:c r="C123" s="1" t="n">
        <x:v>0.016154780014881718</x:v>
      </x:c>
      <x:c r="D123" s="1" t="n">
        <x:v>0.01723181521167365</x:v>
      </x:c>
      <x:c r="E123" s="1" t="n">
        <x:v>0.014055066523002358</x:v>
      </x:c>
      <x:c r="F123" s="1" t="n">
        <x:v>0.021959864153782885</x:v>
      </x:c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</x:row>
    <x:row r="124" ht="15" hidden="0" customHeight="1">
      <x:c r="A124" s="1" t="n">
        <x:v>0.7699984</x:v>
      </x:c>
      <x:c r="B124" s="1" t="n">
        <x:v>0.016650639567757444</x:v>
      </x:c>
      <x:c r="C124" s="1" t="n">
        <x:v>0.01656153760810644</x:v>
      </x:c>
      <x:c r="D124" s="1" t="n">
        <x:v>0.017664504450292814</x:v>
      </x:c>
      <x:c r="E124" s="1" t="n">
        <x:v>0.014367409159853158</x:v>
      </x:c>
      <x:c r="F124" s="1" t="n">
        <x:v>0.02239717949608126</x:v>
      </x:c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</x:row>
    <x:row r="125" ht="15" hidden="0" customHeight="1">
      <x:c r="A125" s="1" t="n">
        <x:v>0.7800002</x:v>
      </x:c>
      <x:c r="B125" s="1" t="n">
        <x:v>0.01705789230969401</x:v>
      </x:c>
      <x:c r="C125" s="1" t="n">
        <x:v>0.01692857012753543</x:v>
      </x:c>
      <x:c r="D125" s="1" t="n">
        <x:v>0.018056181228465456</x:v>
      </x:c>
      <x:c r="E125" s="1" t="n">
        <x:v>0.014664951094351713</x:v>
      </x:c>
      <x:c r="F125" s="1" t="n">
        <x:v>0.02290909252859506</x:v>
      </x:c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</x:row>
    <x:row r="126" ht="15" hidden="0" customHeight="1">
      <x:c r="A126" s="1" t="n">
        <x:v>0.7900012</x:v>
      </x:c>
      <x:c r="B126" s="1" t="n">
        <x:v>0.01747602417618504</x:v>
      </x:c>
      <x:c r="C126" s="1" t="n">
        <x:v>0.017332526593761742</x:v>
      </x:c>
      <x:c r="D126" s="1" t="n">
        <x:v>0.018432310337086276</x:v>
      </x:c>
      <x:c r="E126" s="1" t="n">
        <x:v>0.01502373585095203</x:v>
      </x:c>
      <x:c r="F126" s="1" t="n">
        <x:v>0.02346358835032722</x:v>
      </x:c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</x:row>
    <x:row r="127" ht="15" hidden="0" customHeight="1">
      <x:c r="A127" s="1" t="n">
        <x:v>0.7999977</x:v>
      </x:c>
      <x:c r="B127" s="1" t="n">
        <x:v>0.01783959065463114</x:v>
      </x:c>
      <x:c r="C127" s="1" t="n">
        <x:v>0.017652095572384213</x:v>
      </x:c>
      <x:c r="D127" s="1" t="str"/>
      <x:c r="E127" s="1" t="str"/>
      <x:c r="F127" s="1" t="str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</x:row>
    <x:row r="128" ht="15" hidden="0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</x:row>
    <x:row r="129" ht="15" hidden="0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</x:row>
    <x:row r="130" ht="15" hidden="0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</x:row>
    <x:row r="131" ht="15" hidden="0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</x:row>
    <x:row r="132" ht="15" hidden="0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</x:row>
    <x:row r="133" ht="15" hidden="0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</x:row>
    <x:row r="134" ht="15" hidden="0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</x:row>
    <x:row r="135" ht="15" hidden="0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</x:row>
    <x:row r="136" ht="15" hidden="0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</x:row>
    <x:row r="137" ht="15" hidden="0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</x:row>
    <x:row r="138" ht="15" hidden="0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</x:row>
    <x:row r="139" ht="15" hidden="0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</x:row>
    <x:row r="140" ht="15" hidden="0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</x:row>
    <x:row r="141" ht="15" hidden="0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</x:row>
    <x:row r="142" ht="15" hidden="0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</x:row>
    <x:row r="143" ht="15" hidden="0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</x:row>
    <x:row r="144" ht="15" hidden="0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</x:row>
    <x:row r="145" ht="15" hidden="0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</x:row>
    <x:row r="146" ht="15" hidden="0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</x:row>
    <x:row r="147" ht="15" hidden="0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</x:row>
    <x:row r="148" ht="15" hidden="0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</x:row>
    <x:row r="149" ht="15" hidden="0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</x:row>
    <x:row r="150" ht="15" hidden="0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</x:row>
    <x:row r="151" ht="15" hidden="0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</x:row>
    <x:row r="152" ht="15" hidden="0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</x:row>
    <x:row r="153" ht="15" hidden="0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</x:row>
    <x:row r="154" ht="15" hidden="0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</x:row>
    <x:row r="155" ht="15" hidden="0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</x:row>
    <x:row r="156" ht="15" hidden="0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</x:row>
    <x:row r="157" ht="15" hidden="0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</x:row>
    <x:row r="158" ht="15" hidden="0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</x:row>
    <x:row r="159" ht="15" hidden="0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</x:row>
    <x:row r="160" ht="15" hidden="0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</x:row>
    <x:row r="161" ht="15" hidden="0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</x:row>
    <x:row r="162" ht="15" hidden="0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</x:row>
    <x:row r="163" ht="15" hidden="0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</x:row>
    <x:row r="164" ht="15" hidden="0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</x:row>
    <x:row r="165" ht="15" hidden="0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</x:row>
    <x:row r="166" ht="15" hidden="0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</x:row>
    <x:row r="167" ht="15" hidden="0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</x:row>
    <x:row r="168" ht="15" hidden="0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</x:row>
    <x:row r="169" ht="15" hidden="0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</x:row>
    <x:row r="170" ht="15" hidden="0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</x:row>
    <x:row r="171" ht="15" hidden="0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</x:row>
    <x:row r="172" ht="15" hidden="0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</x:row>
    <x:row r="173" ht="15" hidden="0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</x:row>
    <x:row r="174" ht="15" hidden="0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</x:row>
    <x:row r="175" ht="15" hidden="0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</x:row>
    <x:row r="176" ht="15" hidden="0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</x:row>
    <x:row r="177" ht="15" hidden="0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</x:row>
    <x:row r="178" ht="15" hidden="0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</x:row>
    <x:row r="179" ht="15" hidden="0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</x:row>
    <x:row r="180" ht="15" hidden="0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</x:row>
    <x:row r="181" ht="15" hidden="0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</x:row>
    <x:row r="182" ht="15" hidden="0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</x:row>
    <x:row r="183" ht="15" hidden="0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</x:row>
    <x:row r="184" ht="15" hidden="0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</x:row>
    <x:row r="185" ht="15" hidden="0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</x:row>
    <x:row r="186" ht="15" hidden="0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</x:row>
    <x:row r="187" ht="15" hidden="0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</x:row>
    <x:row r="188" ht="15" hidden="0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</x:row>
    <x:row r="189" ht="15" hidden="0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</x:row>
    <x:row r="190" ht="15" hidden="0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</x:row>
    <x:row r="191" ht="15" hidden="0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</x:row>
    <x:row r="192" ht="15" hidden="0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</x:row>
    <x:row r="193" ht="15" hidden="0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</x:row>
    <x:row r="194" ht="15" hidden="0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</x:row>
    <x:row r="195" ht="15" hidden="0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</x:row>
    <x:row r="196" ht="15" hidden="0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</x:row>
    <x:row r="197" ht="15" hidden="0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</x:row>
    <x:row r="198" ht="15" hidden="0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</x:row>
    <x:row r="199" ht="15" hidden="0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</x:row>
    <x:row r="200" ht="15" hidden="0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</x:row>
    <x:row r="201" ht="15" hidden="0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</x:row>
    <x:row r="202" ht="15" hidden="0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</x:row>
    <x:row r="203" ht="15" hidden="0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</x:row>
    <x:row r="204" ht="15" hidden="0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</x:row>
    <x:row r="205" ht="15" hidden="0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</x:row>
    <x:row r="206" ht="15" hidden="0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</x:row>
    <x:row r="207" ht="15" hidden="0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</x:row>
    <x:row r="208" ht="15" hidden="0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</x:row>
    <x:row r="209" ht="15" hidden="0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</x:row>
    <x:row r="210" ht="15" hidden="0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</x:row>
    <x:row r="211" ht="15" hidden="0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</x:row>
    <x:row r="212" ht="15" hidden="0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</x:row>
    <x:row r="213" ht="15" hidden="0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</x:row>
    <x:row r="214" ht="15" hidden="0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</x:row>
    <x:row r="215" ht="15" hidden="0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</x:row>
    <x:row r="216" ht="15" hidden="0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</x:row>
    <x:row r="217" ht="15" hidden="0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</x:row>
    <x:row r="218" ht="15" hidden="0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</x:row>
    <x:row r="219" ht="15" hidden="0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</x:row>
    <x:row r="220" ht="15" hidden="0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</x:row>
    <x:row r="221" ht="15" hidden="0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</x:row>
    <x:row r="222" ht="15" hidden="0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</x:row>
    <x:row r="223" ht="15" hidden="0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</x:row>
    <x:row r="224" ht="15" hidden="0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</x:row>
    <x:row r="225" ht="15" hidden="0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</x:row>
    <x:row r="226" ht="15" hidden="0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</x:row>
    <x:row r="227" ht="15" hidden="0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</x:row>
    <x:row r="228" ht="15" hidden="0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</x:row>
    <x:row r="229" ht="15" hidden="0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</x:row>
    <x:row r="230" ht="15" hidden="0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</x:row>
    <x:row r="231" ht="15" hidden="0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</x:row>
    <x:row r="232" ht="15" hidden="0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</x:row>
    <x:row r="233" ht="15" hidden="0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</x:row>
    <x:row r="234" ht="15" hidden="0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</x:row>
    <x:row r="235" ht="15" hidden="0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</x:row>
    <x:row r="236" ht="15" hidden="0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</x:row>
    <x:row r="237" ht="15" hidden="0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</x:row>
    <x:row r="238" ht="15" hidden="0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</x:row>
    <x:row r="239" ht="15" hidden="0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</x:row>
    <x:row r="240" ht="15" hidden="0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</x:row>
  </x:sheetData>
  <x:pageMargins left="0.7" right="0.7" top="0.75" bottom="0.75" header="0.3" footer="0.3"/>
  <x:drawing xmlns:r="http://schemas.openxmlformats.org/officeDocument/2006/relationships" r:id="R5e52005a39b04a25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.75" hidden="0" customWidth="1"/>
    <x:col min="2" max="2" width="10.880000114440918" hidden="0" customWidth="1"/>
    <x:col min="3" max="3" width="10.630000114440918" hidden="0" customWidth="1"/>
    <x:col min="4" max="4" width="10.630000114440918" hidden="0" customWidth="1"/>
    <x:col min="5" max="5" width="10.630000114440918" hidden="0" customWidth="1"/>
    <x:col min="6" max="6" width="10.630000114440918" hidden="0" customWidth="1"/>
  </x:cols>
  <x:sheetData>
    <x:row r="1" ht="15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19.200000762939453" hidden="0" customHeight="1">
      <x:c r="A2" s="2" t="str">
        <x:v>I-V curves: gap label 35 um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15" hidden="0" customHeight="1">
      <x:c r="A3" s="3" t="str">
        <x:v>Rows 1-5 compared in the -0.4 V to +0.8 V display window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15" hidden="0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</x:row>
    <x:row r="5" ht="15" hidden="0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15" hidden="0" customHeight="1">
      <x:c r="A6" s="9" t="str">
        <x:v>Voltage (V)</x:v>
      </x:c>
      <x:c r="B6" s="9" t="str">
        <x:v>Row 1</x:v>
      </x:c>
      <x:c r="C6" s="9" t="str">
        <x:v>Row 2</x:v>
      </x:c>
      <x:c r="D6" s="9" t="str">
        <x:v>Row 3</x:v>
      </x:c>
      <x:c r="E6" s="9" t="str">
        <x:v>Row 4</x:v>
      </x:c>
      <x:c r="F6" s="9" t="str">
        <x:v>Row 5</x:v>
      </x:c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15" hidden="0" customHeight="1">
      <x:c r="A7" s="1" t="n">
        <x:v>-0.3999994</x:v>
      </x:c>
      <x:c r="B7" s="1" t="n">
        <x:v>-0.001729351295886725</x:v>
      </x:c>
      <x:c r="C7" s="1" t="n">
        <x:v>-0.000014694798771947513</x:v>
      </x:c>
      <x:c r="D7" s="1" t="n">
        <x:v>-0.000002613899592271933</x:v>
      </x:c>
      <x:c r="E7" s="1" t="n">
        <x:v>-1.6080483518817522e-7</x:v>
      </x:c>
      <x:c r="F7" s="1" t="n">
        <x:v>1.261229219725455e-8</x:v>
      </x:c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15" hidden="0" customHeight="1">
      <x:c r="A8" s="1" t="n">
        <x:v>-0.3900003</x:v>
      </x:c>
      <x:c r="B8" s="1" t="n">
        <x:v>-0.0017120649470010367</x:v>
      </x:c>
      <x:c r="C8" s="1" t="n">
        <x:v>-0.000014344812100601315</x:v>
      </x:c>
      <x:c r="D8" s="1" t="n">
        <x:v>-0.0000025461094894890227</x:v>
      </x:c>
      <x:c r="E8" s="1" t="n">
        <x:v>-1.387335813578425e-7</x:v>
      </x:c>
      <x:c r="F8" s="1" t="n">
        <x:v>-1.734155936032146e-8</x:v>
      </x:c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15" hidden="0" customHeight="1">
      <x:c r="A9" s="1" t="n">
        <x:v>-0.3800012</x:v>
      </x:c>
      <x:c r="B9" s="1" t="n">
        <x:v>-0.0016629928802363385</x:v>
      </x:c>
      <x:c r="C9" s="1" t="n">
        <x:v>-0.000014105181344729133</x:v>
      </x:c>
      <x:c r="D9" s="1" t="n">
        <x:v>-0.0000024515191090000423</x:v>
      </x:c>
      <x:c r="E9" s="1" t="n">
        <x:v>-1.4661616493797973e-7</x:v>
      </x:c>
      <x:c r="F9" s="1" t="n">
        <x:v>4.729708617117317e-9</x:v>
      </x:c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15" hidden="0" customHeight="1">
      <x:c r="A10" s="1" t="n">
        <x:v>-0.3700001</x:v>
      </x:c>
      <x:c r="B10" s="1" t="n">
        <x:v>-0.0016164149482687158</x:v>
      </x:c>
      <x:c r="C10" s="1" t="n">
        <x:v>-0.00001384820765154705</x:v>
      </x:c>
      <x:c r="D10" s="1" t="n">
        <x:v>-0.0000023663860689072335</x:v>
      </x:c>
      <x:c r="E10" s="1" t="n">
        <x:v>-1.4661616493797973e-7</x:v>
      </x:c>
      <x:c r="F10" s="1" t="n">
        <x:v>-1.8918070417506484e-8</x:v>
      </x:c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15" hidden="0" customHeight="1">
      <x:c r="A11" s="1" t="n">
        <x:v>-0.359999</x:v>
      </x:c>
      <x:c r="B11" s="1" t="n">
        <x:v>-0.0015740189008502453</x:v>
      </x:c>
      <x:c r="C11" s="1" t="n">
        <x:v>-0.000013627495820599027</x:v>
      </x:c>
      <x:c r="D11" s="1" t="n">
        <x:v>-0.0000023112081111702272</x:v>
      </x:c>
      <x:c r="E11" s="1" t="n">
        <x:v>-1.954882340644124e-7</x:v>
      </x:c>
      <x:c r="F11" s="1" t="n">
        <x:v>-1.8918070417506484e-8</x:v>
      </x:c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15" hidden="0" customHeight="1">
      <x:c r="A12" s="1" t="n">
        <x:v>-0.3500006</x:v>
      </x:c>
      <x:c r="B12" s="1" t="n">
        <x:v>-0.0015407901781538682</x:v>
      </x:c>
      <x:c r="C12" s="1" t="n">
        <x:v>-0.0000132317899466226</x:v>
      </x:c>
      <x:c r="D12" s="1" t="n">
        <x:v>-0.000002259183543372349</x:v>
      </x:c>
      <x:c r="E12" s="1" t="n">
        <x:v>-2.0179430658736455e-7</x:v>
      </x:c>
      <x:c r="F12" s="1" t="n">
        <x:v>-3.15302154634109e-8</x:v>
      </x:c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15" hidden="0" customHeight="1">
      <x:c r="A13" s="1" t="n">
        <x:v>-0.3400002</x:v>
      </x:c>
      <x:c r="B13" s="1" t="n">
        <x:v>-0.0014995938053286595</x:v>
      </x:c>
      <x:c r="C13" s="1" t="n">
        <x:v>-0.000013228636556683474</x:v>
      </x:c>
      <x:c r="D13" s="1" t="n">
        <x:v>-0.00000225445416581896</x:v>
      </x:c>
      <x:c r="E13" s="1" t="n">
        <x:v>-1.9075868674575125e-7</x:v>
      </x:c>
      <x:c r="F13" s="1" t="n">
        <x:v>-5.990755171967006e-8</x:v>
      </x:c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15" hidden="0" customHeight="1">
      <x:c r="A14" s="1" t="n">
        <x:v>-0.3299997</x:v>
      </x:c>
      <x:c r="B14" s="1" t="n">
        <x:v>-0.001458243229047477</x:v>
      </x:c>
      <x:c r="C14" s="1" t="n">
        <x:v>-0.000012858154972798857</x:v>
      </x:c>
      <x:c r="D14" s="1" t="n">
        <x:v>-0.000002118872545542534</x:v>
      </x:c>
      <x:c r="E14" s="1" t="n">
        <x:v>-1.812995737171911e-7</x:v>
      </x:c>
      <x:c r="F14" s="1" t="n">
        <x:v>-8.040228458984353e-8</x:v>
      </x:c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15" hidden="0" customHeight="1">
      <x:c r="A15" s="1" t="n">
        <x:v>-0.32</x:v>
      </x:c>
      <x:c r="B15" s="1" t="n">
        <x:v>-0.001420640221159632</x:v>
      </x:c>
      <x:c r="C15" s="1" t="n">
        <x:v>-0.00001262798297203345</x:v>
      </x:c>
      <x:c r="D15" s="1" t="n">
        <x:v>-0.0000020794601227905593</x:v>
      </x:c>
      <x:c r="E15" s="1" t="n">
        <x:v>-1.7814653745571503e-7</x:v>
      </x:c>
      <x:c r="F15" s="1" t="n">
        <x:v>-3.783628798636311e-8</x:v>
      </x:c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15" hidden="0" customHeight="1">
      <x:c r="A16" s="1" t="n">
        <x:v>-0.3099995</x:v>
      </x:c>
      <x:c r="B16" s="1" t="n">
        <x:v>-0.0013719055628742883</x:v>
      </x:c>
      <x:c r="C16" s="1" t="n">
        <x:v>-0.000012358398548516068</x:v>
      </x:c>
      <x:c r="D16" s="1" t="n">
        <x:v>-0.0000019895991198549674</x:v>
      </x:c>
      <x:c r="E16" s="1" t="n">
        <x:v>-1.76570018928858e-7</x:v>
      </x:c>
      <x:c r="F16" s="1" t="n">
        <x:v>-4.887192197508249e-8</x:v>
      </x:c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15" hidden="0" customHeight="1">
      <x:c r="A17" s="1" t="n">
        <x:v>-0.2999991</x:v>
      </x:c>
      <x:c r="B17" s="1" t="n">
        <x:v>-0.0013315229315892258</x:v>
      </x:c>
      <x:c r="C17" s="1" t="n">
        <x:v>-0.000012115614402704759</x:v>
      </x:c>
      <x:c r="D17" s="1" t="n">
        <x:v>-0.0000020305875302212026</x:v>
      </x:c>
      <x:c r="E17" s="1" t="n">
        <x:v>-2.1913601309903618e-7</x:v>
      </x:c>
      <x:c r="F17" s="1" t="n">
        <x:v>-1.1035486837369251e-8</x:v>
      </x:c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15" hidden="0" customHeight="1">
      <x:c r="A18" s="1" t="n">
        <x:v>-0.2900007</x:v>
      </x:c>
      <x:c r="B18" s="1" t="n">
        <x:v>-0.0012916749194418916</x:v>
      </x:c>
      <x:c r="C18" s="1" t="n">
        <x:v>-0.000011868100879340057</x:v>
      </x:c>
      <x:c r="D18" s="1" t="n">
        <x:v>-0.0000019044660797621586</x:v>
      </x:c>
      <x:c r="E18" s="1" t="n">
        <x:v>-1.7341698164879024e-7</x:v>
      </x:c>
      <x:c r="F18" s="1" t="n">
        <x:v>-1.5763639058348912e-9</x:v>
      </x:c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15" hidden="0" customHeight="1">
      <x:c r="A19" s="1" t="n">
        <x:v>-0.2800009</x:v>
      </x:c>
      <x:c r="B19" s="1" t="n">
        <x:v>-0.0012587761072586612</x:v>
      </x:c>
      <x:c r="C19" s="1" t="n">
        <x:v>-0.000011628470123467873</x:v>
      </x:c>
      <x:c r="D19" s="1" t="n">
        <x:v>-0.000001926538394625445</x:v>
      </x:c>
      <x:c r="E19" s="1" t="n">
        <x:v>-1.0405016833449932e-7</x:v>
      </x:c>
      <x:c r="F19" s="1" t="n">
        <x:v>1.7341853663021736e-8</x:v>
      </x:c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15" hidden="0" customHeight="1">
      <x:c r="A20" s="1" t="n">
        <x:v>-0.2699998</x:v>
      </x:c>
      <x:c r="B20" s="1" t="n">
        <x:v>-0.0012066090781028326</x:v>
      </x:c>
      <x:c r="C20" s="1" t="n">
        <x:v>-0.000011325778642366166</x:v>
      </x:c>
      <x:c r="D20" s="1" t="n">
        <x:v>-0.0000018382533793041147</x:v>
      </x:c>
      <x:c r="E20" s="1" t="n">
        <x:v>-1.7026394538731413e-7</x:v>
      </x:c>
      <x:c r="F20" s="1" t="n">
        <x:v>2.6800962447450035e-8</x:v>
      </x:c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15" hidden="0" customHeight="1">
      <x:c r="A21" s="1" t="n">
        <x:v>-0.2600007</x:v>
      </x:c>
      <x:c r="B21" s="1" t="n">
        <x:v>-0.0011718610976874653</x:v>
      </x:c>
      <x:c r="C21" s="1" t="n">
        <x:v>-0.000011141325844230989</x:v>
      </x:c>
      <x:c r="D21" s="1" t="n">
        <x:v>-0.000001764156496642949</x:v>
      </x:c>
      <x:c r="E21" s="1" t="n">
        <x:v>-2.1282994057608397e-7</x:v>
      </x:c>
      <x:c r="F21" s="1" t="n">
        <x:v>-2.3647631883273668e-8</x:v>
      </x:c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15" hidden="0" customHeight="1">
      <x:c r="A22" s="1" t="n">
        <x:v>-0.2500003</x:v>
      </x:c>
      <x:c r="B22" s="1" t="n">
        <x:v>-0.0011219295942300708</x:v>
      </x:c>
      <x:c r="C22" s="1" t="n">
        <x:v>-0.000010884353565759513</x:v>
      </x:c>
      <x:c r="D22" s="1" t="n">
        <x:v>-0.0000017342028289977518</x:v>
      </x:c>
      <x:c r="E22" s="1" t="n">
        <x:v>-1.9075868674575125e-7</x:v>
      </x:c>
      <x:c r="F22" s="1" t="n">
        <x:v>1.4188817401545627e-8</x:v>
      </x:c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15" hidden="0" customHeight="1">
      <x:c r="A23" s="1" t="n">
        <x:v>-0.2400006</x:v>
      </x:c>
      <x:c r="B23" s="1" t="n">
        <x:v>-0.0010900933711824523</x:v>
      </x:c>
      <x:c r="C23" s="1" t="n">
        <x:v>-0.000010662064332486621</x:v>
      </x:c>
      <x:c r="D23" s="1" t="n">
        <x:v>-0.0000017326254266728854</x:v>
      </x:c>
      <x:c r="E23" s="1" t="n">
        <x:v>-1.6711090912583805e-7</x:v>
      </x:c>
      <x:c r="F23" s="1" t="n">
        <x:v>-3.152889110125967e-9</x:v>
      </x:c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15" hidden="0" customHeight="1">
      <x:c r="A24" s="1" t="n">
        <x:v>-0.2300001</x:v>
      </x:c>
      <x:c r="B24" s="1" t="n">
        <x:v>-0.0010454448215382849</x:v>
      </x:c>
      <x:c r="C24" s="1" t="n">
        <x:v>-0.000010422433576614437</x:v>
      </x:c>
      <x:c r="D24" s="1" t="n">
        <x:v>-0.0000016411884361230324</x:v>
      </x:c>
      <x:c r="E24" s="1" t="n">
        <x:v>-1.718404635180522e-7</x:v>
      </x:c>
      <x:c r="F24" s="1" t="n">
        <x:v>-6.148406945428915e-8</x:v>
      </x:c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15" hidden="0" customHeight="1">
      <x:c r="A25" s="1" t="n">
        <x:v>-0.2200004</x:v>
      </x:c>
      <x:c r="B25" s="1" t="n">
        <x:v>-0.0010076461591737322</x:v>
      </x:c>
      <x:c r="C25" s="1" t="n">
        <x:v>-0.000010108707352791694</x:v>
      </x:c>
      <x:c r="D25" s="1" t="n">
        <x:v>-0.000001548174043248313</x:v>
      </x:c>
      <x:c r="E25" s="1" t="n">
        <x:v>-1.9864127032588847e-7</x:v>
      </x:c>
      <x:c r="F25" s="1" t="n">
        <x:v>-3.625977692917808e-8</x:v>
      </x:c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15" hidden="0" customHeight="1">
      <x:c r="A26" s="1" t="n">
        <x:v>-0.21</x:v>
      </x:c>
      <x:c r="B26" s="1" t="n">
        <x:v>-0.0009622677603283102</x:v>
      </x:c>
      <x:c r="C26" s="1" t="n">
        <x:v>-0.00000994317206487007</x:v>
      </x:c>
      <x:c r="D26" s="1" t="n">
        <x:v>-0.0000015324082253211602</x:v>
      </x:c>
      <x:c r="E26" s="1" t="n">
        <x:v>-2.0494735699594672e-7</x:v>
      </x:c>
      <x:c r="F26" s="1" t="n">
        <x:v>-3.468325172488701e-8</x:v>
      </x:c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15" hidden="0" customHeight="1">
      <x:c r="A27" s="1" t="n">
        <x:v>-0.2000009</x:v>
      </x:c>
      <x:c r="B27" s="1" t="n">
        <x:v>-0.0009222587541140972</x:v>
      </x:c>
      <x:c r="C27" s="1" t="n">
        <x:v>-0.00000964363397370749</x:v>
      </x:c>
      <x:c r="D27" s="1" t="n">
        <x:v>-0.0000014677710880641955</x:v>
      </x:c>
      <x:c r="E27" s="1" t="n">
        <x:v>-1.89182165785592e-7</x:v>
      </x:c>
      <x:c r="F27" s="1" t="n">
        <x:v>-1.5763639058348912e-9</x:v>
      </x:c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15" hidden="0" customHeight="1">
      <x:c r="A28" s="1" t="n">
        <x:v>-0.1900004</x:v>
      </x:c>
      <x:c r="B28" s="1" t="n">
        <x:v>-0.0008745912120383024</x:v>
      </x:c>
      <x:c r="C28" s="1" t="n">
        <x:v>-0.00000936932017263672</x:v>
      </x:c>
      <x:c r="D28" s="1" t="n">
        <x:v>-0.0000014441232099998293</x:v>
      </x:c>
      <x:c r="E28" s="1" t="n">
        <x:v>-1.9864127032588847e-7</x:v>
      </x:c>
      <x:c r="F28" s="1" t="n">
        <x:v>1.8918364720206758e-8</x:v>
      </x:c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15" hidden="0" customHeight="1">
      <x:c r="A29" s="1" t="n">
        <x:v>-0.1800007</x:v>
      </x:c>
      <x:c r="B29" s="1" t="n">
        <x:v>-0.000836924966586402</x:v>
      </x:c>
      <x:c r="C29" s="1" t="n">
        <x:v>-0.000009082392811809442</x:v>
      </x:c>
      <x:c r="D29" s="1" t="n">
        <x:v>-0.000001407863328360619</x:v>
      </x:c>
      <x:c r="E29" s="1" t="n">
        <x:v>-1.686874272565761e-7</x:v>
      </x:c>
      <x:c r="F29" s="1" t="n">
        <x:v>1.4188817401545627e-8</x:v>
      </x:c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15" hidden="0" customHeight="1">
      <x:c r="A30" s="1" t="n">
        <x:v>-0.1700009</x:v>
      </x:c>
      <x:c r="B30" s="1" t="n">
        <x:v>-0.0007897508755697222</x:v>
      </x:c>
      <x:c r="C30" s="1" t="n">
        <x:v>-0.00000882226714339884</x:v>
      </x:c>
      <x:c r="D30" s="1" t="n">
        <x:v>-0.0000013148487940148392</x:v>
      </x:c>
      <x:c r="E30" s="1" t="n">
        <x:v>-1.261214363119381e-7</x:v>
      </x:c>
      <x:c r="F30" s="1" t="n">
        <x:v>9.459255935778441e-9</x:v>
      </x:c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15" hidden="0" customHeight="1">
      <x:c r="A31" s="1" t="n">
        <x:v>-0.1600005</x:v>
      </x:c>
      <x:c r="B31" s="1" t="n">
        <x:v>-0.0007488275418913287</x:v>
      </x:c>
      <x:c r="C31" s="1" t="n">
        <x:v>-0.000008607860677618463</x:v>
      </x:c>
      <x:c r="D31" s="1" t="n">
        <x:v>-0.000001281741877901575</x:v>
      </x:c>
      <x:c r="E31" s="1" t="n">
        <x:v>-1.89182165785592e-7</x:v>
      </x:c>
      <x:c r="F31" s="1" t="n">
        <x:v>1.4715135013288328e-13</x:v>
      </x:c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15" hidden="0" customHeight="1">
      <x:c r="A32" s="1" t="n">
        <x:v>-0.1500001</x:v>
      </x:c>
      <x:c r="B32" s="1" t="n">
        <x:v>-0.0007047607212480447</x:v>
      </x:c>
      <x:c r="C32" s="1" t="n">
        <x:v>-0.00000836192455657863</x:v>
      </x:c>
      <x:c r="D32" s="1" t="n">
        <x:v>-0.0000012691297328556705</x:v>
      </x:c>
      <x:c r="E32" s="1" t="n">
        <x:v>-1.5922830998388415e-7</x:v>
      </x:c>
      <x:c r="F32" s="1" t="n">
        <x:v>-2.8377179201934796e-8</x:v>
      </x:c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15" hidden="0" customHeight="1">
      <x:c r="A33" s="1" t="n">
        <x:v>-0.140001</x:v>
      </x:c>
      <x:c r="B33" s="1" t="n">
        <x:v>-0.0006592293921861942</x:v>
      </x:c>
      <x:c r="C33" s="1" t="n">
        <x:v>-0.00000806238646541605</x:v>
      </x:c>
      <x:c r="D33" s="1" t="n">
        <x:v>-0.0000012691297328556705</x:v>
      </x:c>
      <x:c r="E33" s="1" t="n">
        <x:v>-1.7814653745571503e-7</x:v>
      </x:c>
      <x:c r="F33" s="1" t="n">
        <x:v>-3.15302154634109e-8</x:v>
      </x:c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15" hidden="0" customHeight="1">
      <x:c r="A34" s="1" t="n">
        <x:v>-0.1299999</x:v>
      </x:c>
      <x:c r="B34" s="1" t="n">
        <x:v>-0.0006187175978228714</x:v>
      </x:c>
      <x:c r="C34" s="1" t="n">
        <x:v>-0.000007781765884467026</x:v>
      </x:c>
      <x:c r="D34" s="1" t="n">
        <x:v>-0.0000011871507900572919</x:v>
      </x:c>
      <x:c r="E34" s="1" t="n">
        <x:v>-2.1598297683756005e-7</x:v>
      </x:c>
      <x:c r="F34" s="1" t="n">
        <x:v>-9.458961633078175e-9</x:v>
      </x:c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15" hidden="0" customHeight="1">
      <x:c r="A35" s="1" t="n">
        <x:v>-0.1200008</x:v>
      </x:c>
      <x:c r="B35" s="1" t="n">
        <x:v>-0.0005723616339492142</x:v>
      </x:c>
      <x:c r="C35" s="1" t="n">
        <x:v>-0.000007532674958777461</x:v>
      </x:c>
      <x:c r="D35" s="1" t="n">
        <x:v>-0.0000010957126677389546</x:v>
      </x:c>
      <x:c r="E35" s="1" t="n">
        <x:v>-1.718404635180522e-7</x:v>
      </x:c>
      <x:c r="F35" s="1" t="n">
        <x:v>-2.0494595621797565e-8</x:v>
      </x:c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15" hidden="0" customHeight="1">
      <x:c r="A36" s="1" t="n">
        <x:v>-0.1099997</x:v>
      </x:c>
      <x:c r="B36" s="1" t="n">
        <x:v>-0.0005273756758256919</x:v>
      </x:c>
      <x:c r="C36" s="1" t="n">
        <x:v>-0.000007113322197034092</x:v>
      </x:c>
      <x:c r="D36" s="1" t="n">
        <x:v>-0.0000010484171945523433</x:v>
      </x:c>
      <x:c r="E36" s="1" t="n">
        <x:v>-1.9233519780293626e-7</x:v>
      </x:c>
      <x:c r="F36" s="1" t="n">
        <x:v>1.4715135013288328e-13</x:v>
      </x:c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15" hidden="0" customHeight="1">
      <x:c r="A37" s="1" t="n">
        <x:v>-0.09999994</x:v>
      </x:c>
      <x:c r="B37" s="1" t="n">
        <x:v>-0.0004807295548068955</x:v>
      </x:c>
      <x:c r="C37" s="1" t="n">
        <x:v>-0.000006873691441161908</x:v>
      </x:c>
      <x:c r="D37" s="1" t="n">
        <x:v>-0.0000010105806179435695</x:v>
      </x:c>
      <x:c r="E37" s="1" t="n">
        <x:v>-1.24544911107647e-7</x:v>
      </x:c>
      <x:c r="F37" s="1" t="n">
        <x:v>4.098963269764554e-8</x:v>
      </x:c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15" hidden="0" customHeight="1">
      <x:c r="A38" s="1" t="n">
        <x:v>-0.09000085</x:v>
      </x:c>
      <x:c r="B38" s="1" t="n">
        <x:v>-0.000436315988594262</x:v>
      </x:c>
      <x:c r="C38" s="1" t="n">
        <x:v>-0.00000645275986238307</x:v>
      </x:c>
      <x:c r="D38" s="1" t="n">
        <x:v>-9.364843011666463e-7</x:v>
      </x:c>
      <x:c r="E38" s="1" t="n">
        <x:v>-1.0089713207302322e-7</x:v>
      </x:c>
      <x:c r="F38" s="1" t="n">
        <x:v>-1.734155936032146e-8</x:v>
      </x:c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15" hidden="0" customHeight="1">
      <x:c r="A39" s="1" t="n">
        <x:v>-0.08000109</x:v>
      </x:c>
      <x:c r="B39" s="1" t="n">
        <x:v>-0.00038876346249067475</x:v>
      </x:c>
      <x:c r="C39" s="1" t="n">
        <x:v>-0.000006096467825869223</x:v>
      </x:c>
      <x:c r="D39" s="1" t="n">
        <x:v>-9.065304920503884e-7</x:v>
      </x:c>
      <x:c r="E39" s="1" t="n">
        <x:v>-9.301454849288597e-8</x:v>
      </x:c>
      <x:c r="F39" s="1" t="n">
        <x:v>-7.882450575893152e-9</x:v>
      </x:c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15" hidden="0" customHeight="1">
      <x:c r="A40" s="1" t="n">
        <x:v>-0.07000067</x:v>
      </x:c>
      <x:c r="B40" s="1" t="n">
        <x:v>-0.0003432256257600401</x:v>
      </x:c>
      <x:c r="C40" s="1" t="n">
        <x:v>-0.00000558409925654053</x:v>
      </x:c>
      <x:c r="D40" s="1" t="n">
        <x:v>-7.961741521631945e-7</x:v>
      </x:c>
      <x:c r="E40" s="1" t="n">
        <x:v>-1.1666231338040373e-7</x:v>
      </x:c>
      <x:c r="F40" s="1" t="n">
        <x:v>-6.621362424262228e-8</x:v>
      </x:c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15" hidden="0" customHeight="1">
      <x:c r="A41" s="1" t="n">
        <x:v>-0.06000024</x:v>
      </x:c>
      <x:c r="B41" s="1" t="n">
        <x:v>-0.0002973001583235638</x:v>
      </x:c>
      <x:c r="C41" s="1" t="n">
        <x:v>-0.000005078036052379488</x:v>
      </x:c>
      <x:c r="D41" s="1" t="n">
        <x:v>-7.189247283892648e-7</x:v>
      </x:c>
      <x:c r="E41" s="1" t="n">
        <x:v>-1.655343895803894e-7</x:v>
      </x:c>
      <x:c r="F41" s="1" t="n">
        <x:v>1.7341853663021736e-8</x:v>
      </x:c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15" hidden="0" customHeight="1">
      <x:c r="A42" s="1" t="n">
        <x:v>-0.05000048</x:v>
      </x:c>
      <x:c r="B42" s="1" t="n">
        <x:v>-0.0002505043609227308</x:v>
      </x:c>
      <x:c r="C42" s="1" t="n">
        <x:v>-0.000004389097452408134</x:v>
      </x:c>
      <x:c r="D42" s="1" t="n">
        <x:v>-6.511344841352938e-7</x:v>
      </x:c>
      <x:c r="E42" s="1" t="n">
        <x:v>-1.119327660617426e-7</x:v>
      </x:c>
      <x:c r="F42" s="1" t="n">
        <x:v>3.4683546027587276e-8</x:v>
      </x:c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15" hidden="0" customHeight="1">
      <x:c r="A43" s="1" t="n">
        <x:v>-0.04000072</x:v>
      </x:c>
      <x:c r="B43" s="1" t="n">
        <x:v>-0.00020075889190992798</x:v>
      </x:c>
      <x:c r="C43" s="1" t="n">
        <x:v>-0.0000037332659100211044</x:v>
      </x:c>
      <x:c r="D43" s="1" t="n">
        <x:v>-5.455078047436094e-7</x:v>
      </x:c>
      <x:c r="E43" s="1" t="n">
        <x:v>-1.749935011942389e-7</x:v>
      </x:c>
      <x:c r="F43" s="1" t="n">
        <x:v>-4.729540384434445e-8</x:v>
      </x:c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15" hidden="0" customHeight="1">
      <x:c r="A44" s="1" t="n">
        <x:v>-0.0300003</x:v>
      </x:c>
      <x:c r="B44" s="1" t="n">
        <x:v>-0.00015177963016093472</x:v>
      </x:c>
      <x:c r="C44" s="1" t="n">
        <x:v>-0.0000026423160709056753</x:v>
      </x:c>
      <x:c r="D44" s="1" t="n">
        <x:v>-4.398809838808645e-7</x:v>
      </x:c>
      <x:c r="E44" s="1" t="n">
        <x:v>-1.2139187484617093e-7</x:v>
      </x:c>
      <x:c r="F44" s="1" t="n">
        <x:v>5.990785026650216e-8</x:v>
      </x:c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15" hidden="0" customHeight="1">
      <x:c r="A45" s="1" t="n">
        <x:v>-0.02000121</x:v>
      </x:c>
      <x:c r="B45" s="1" t="n">
        <x:v>-0.0001019552910318886</x:v>
      </x:c>
      <x:c r="C45" s="1" t="n">
        <x:v>-0.0000014883040918501188</x:v>
      </x:c>
      <x:c r="D45" s="1" t="n">
        <x:v>-1.8606155775848518e-7</x:v>
      </x:c>
      <x:c r="E45" s="1" t="n">
        <x:v>-9.143802328859489e-8</x:v>
      </x:c>
      <x:c r="F45" s="1" t="n">
        <x:v>2.995399870892614e-8</x:v>
      </x:c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15" hidden="0" customHeight="1">
      <x:c r="A46" s="1" t="n">
        <x:v>-0.009999447</x:v>
      </x:c>
      <x:c r="B46" s="1" t="n">
        <x:v>-0.000052162542390658</x:v>
      </x:c>
      <x:c r="C46" s="1" t="n">
        <x:v>-7.069349127672968e-11</x:v>
      </x:c>
      <x:c r="D46" s="1" t="n">
        <x:v>-3.239003718298155e-11</x:v>
      </x:c>
      <x:c r="E46" s="1" t="n">
        <x:v>-7.251980571973828e-8</x:v>
      </x:c>
      <x:c r="F46" s="1" t="n">
        <x:v>-4.729400167310991e-9</x:v>
      </x:c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15" hidden="0" customHeight="1">
      <x:c r="A47" s="1" t="n">
        <x:v>-3.555944e-7</x:v>
      </x:c>
      <x:c r="B47" s="1" t="n">
        <x:v>-1.8511383410141546e-9</x:v>
      </x:c>
      <x:c r="C47" s="1" t="n">
        <x:v>0.0000019879185632661112</x:v>
      </x:c>
      <x:c r="D47" s="1" t="n">
        <x:v>3.168478603444609e-7</x:v>
      </x:c>
      <x:c r="E47" s="1" t="n">
        <x:v>0</x:v>
      </x:c>
      <x:c r="F47" s="1" t="n">
        <x:v>1.4715135013288328e-13</x:v>
      </x:c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15" hidden="0" customHeight="1">
      <x:c r="A48" s="1" t="n">
        <x:v>0.01000007</x:v>
      </x:c>
      <x:c r="B48" s="1" t="n">
        <x:v>0.00005205794295360872</x:v>
      </x:c>
      <x:c r="C48" s="1" t="n">
        <x:v>0.000004436252104496433</x:v>
      </x:c>
      <x:c r="D48" s="1" t="n">
        <x:v>6.857531736726953e-7</x:v>
      </x:c>
      <x:c r="E48" s="1" t="n">
        <x:v>0</x:v>
      </x:c>
      <x:c r="F48" s="1" t="n">
        <x:v>7.567303157388267e-8</x:v>
      </x:c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15" hidden="0" customHeight="1">
      <x:c r="A49" s="1" t="n">
        <x:v>0.0200005</x:v>
      </x:c>
      <x:c r="B49" s="1" t="n">
        <x:v>0.0001055413320334208</x:v>
      </x:c>
      <x:c r="C49" s="1" t="n">
        <x:v>0.000007649197115973538</x:v>
      </x:c>
      <x:c r="D49" s="1" t="n">
        <x:v>0.0000011492495748452127</x:v>
      </x:c>
      <x:c r="E49" s="1" t="n">
        <x:v>1.4188698544407605e-8</x:v>
      </x:c>
      <x:c r="F49" s="1" t="n">
        <x:v>7.724954263106771e-8</x:v>
      </x:c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15" hidden="0" customHeight="1">
      <x:c r="A50" s="1" t="n">
        <x:v>0.02999959</x:v>
      </x:c>
      <x:c r="B50" s="1" t="n">
        <x:v>0.0001597972238392358</x:v>
      </x:c>
      <x:c r="C50" s="1" t="n">
        <x:v>0.000012400822408340374</x:v>
      </x:c>
      <x:c r="D50" s="1" t="n">
        <x:v>0.0000018145407211653823</x:v>
      </x:c>
      <x:c r="E50" s="1" t="n">
        <x:v>1.229684849330983e-7</x:v>
      </x:c>
      <x:c r="F50" s="1" t="n">
        <x:v>1.5922845713523428e-7</x:v>
      </x:c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15" hidden="0" customHeight="1">
      <x:c r="A51" s="1" t="n">
        <x:v>0.04000068</x:v>
      </x:c>
      <x:c r="B51" s="1" t="n">
        <x:v>0.00021836015964145066</x:v>
      </x:c>
      <x:c r="C51" s="1" t="n">
        <x:v>0.000016917554810652045</x:v>
      </x:c>
      <x:c r="D51" s="1" t="n">
        <x:v>0.0000027147323969779845</x:v>
      </x:c>
      <x:c r="E51" s="1" t="n">
        <x:v>2.5539600791509463e-7</x:v>
      </x:c>
      <x:c r="F51" s="1" t="n">
        <x:v>1.3400416704342546e-7</x:v>
      </x:c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15" hidden="0" customHeight="1">
      <x:c r="A52" s="1" t="n">
        <x:v>0.05000044</x:v>
      </x:c>
      <x:c r="B52" s="1" t="n">
        <x:v>0.000276511556128595</x:v>
      </x:c>
      <x:c r="C52" s="1" t="n">
        <x:v>0.0000232425420143966</x:v>
      </x:c>
      <x:c r="D52" s="1" t="n">
        <x:v>0.000003875049741201191</x:v>
      </x:c>
      <x:c r="E52" s="1" t="n">
        <x:v>4.776850997169251e-7</x:v>
      </x:c>
      <x:c r="F52" s="1" t="n">
        <x:v>2.41207399933613e-7</x:v>
      </x:c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15" hidden="0" customHeight="1">
      <x:c r="A53" s="1" t="n">
        <x:v>0.05999953</x:v>
      </x:c>
      <x:c r="B53" s="1" t="n">
        <x:v>0.0003364950028495527</x:v>
      </x:c>
      <x:c r="C53" s="1" t="n">
        <x:v>0.00003077198553324851</x:v>
      </x:c>
      <x:c r="D53" s="1" t="n">
        <x:v>0.000005952901698546896</x:v>
      </x:c>
      <x:c r="E53" s="1" t="n">
        <x:v>7.378106266564688e-7</x:v>
      </x:c>
      <x:c r="F53" s="1" t="n">
        <x:v>3.357986292489567e-7</x:v>
      </x:c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15" hidden="0" customHeight="1">
      <x:c r="A54" s="1" t="n">
        <x:v>0.06999929</x:v>
      </x:c>
      <x:c r="B54" s="1" t="n">
        <x:v>0.00039462588603292076</x:v>
      </x:c>
      <x:c r="C54" s="1" t="n">
        <x:v>0.00004164366870992417</x:v>
      </x:c>
      <x:c r="D54" s="1" t="n">
        <x:v>0.000007655541279743992</x:v>
      </x:c>
      <x:c r="E54" s="1" t="n">
        <x:v>0.0000010830682033913974</x:v>
      </x:c>
      <x:c r="F54" s="1" t="n">
        <x:v>4.114714995243831e-7</x:v>
      </x:c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15" hidden="0" customHeight="1">
      <x:c r="A55" s="1" t="n">
        <x:v>0.08000105</x:v>
      </x:c>
      <x:c r="B55" s="1" t="n">
        <x:v>0.0004607609188787361</x:v>
      </x:c>
      <x:c r="C55" s="1" t="n">
        <x:v>0.00005270451284162931</x:v>
      </x:c>
      <x:c r="D55" s="1" t="n">
        <x:v>0.000010538993117702714</x:v>
      </x:c>
      <x:c r="E55" s="1" t="n">
        <x:v>0.0000013810295995844124</x:v>
      </x:c>
      <x:c r="F55" s="1" t="n">
        <x:v>6.684439194669205e-7</x:v>
      </x:c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15" hidden="0" customHeight="1">
      <x:c r="A56" s="1" t="n">
        <x:v>0.09000014</x:v>
      </x:c>
      <x:c r="B56" s="1" t="n">
        <x:v>0.0005227526887749228</x:v>
      </x:c>
      <x:c r="C56" s="1" t="n">
        <x:v>0.00006704768363702539</x:v>
      </x:c>
      <x:c r="D56" s="1" t="n">
        <x:v>0.000014392004136581814</x:v>
      </x:c>
      <x:c r="E56" s="1" t="n">
        <x:v>0.0000022449622425841674</x:v>
      </x:c>
      <x:c r="F56" s="1" t="n">
        <x:v>9.285694464064641e-7</x:v>
      </x:c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15" hidden="0" customHeight="1">
      <x:c r="A57" s="1" t="n">
        <x:v>0.0999999</x:v>
      </x:c>
      <x:c r="B57" s="1" t="n">
        <x:v>0.0005932687974231114</x:v>
      </x:c>
      <x:c r="C57" s="1" t="n">
        <x:v>0.00008195208427663468</x:v>
      </x:c>
      <x:c r="D57" s="1" t="n">
        <x:v>0.00001945105170231435</x:v>
      </x:c>
      <x:c r="E57" s="1" t="n">
        <x:v>0.0000032160974111188074</x:v>
      </x:c>
      <x:c r="F57" s="1" t="n">
        <x:v>0.0000013242756033250104</x:v>
      </x:c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15" hidden="0" customHeight="1">
      <x:c r="A58" s="1" t="n">
        <x:v>0.1099997</x:v>
      </x:c>
      <x:c r="B58" s="1" t="n">
        <x:v>0.0006632867864671874</x:v>
      </x:c>
      <x:c r="C58" s="1" t="n">
        <x:v>0.00010003474546781188</x:v>
      </x:c>
      <x:c r="D58" s="1" t="n">
        <x:v>0.000026062970511018</x:v>
      </x:c>
      <x:c r="E58" s="1" t="n">
        <x:v>0.000004365380012620975</x:v>
      </x:c>
      <x:c r="F58" s="1" t="n">
        <x:v>0.0000018524090002834321</x:v>
      </x:c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15" hidden="0" customHeight="1">
      <x:c r="A59" s="1" t="n">
        <x:v>0.1200001</x:v>
      </x:c>
      <x:c r="B59" s="1" t="n">
        <x:v>0.0007372160259216292</x:v>
      </x:c>
      <x:c r="C59" s="1" t="n">
        <x:v>0.00012237874135573293</x:v>
      </x:c>
      <x:c r="D59" s="1" t="n">
        <x:v>0.00003470859240320896</x:v>
      </x:c>
      <x:c r="E59" s="1" t="n">
        <x:v>0.000006979247427062316</x:v>
      </x:c>
      <x:c r="F59" s="1" t="n">
        <x:v>0.000002738412543435868</x:v>
      </x:c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15" hidden="0" customHeight="1">
      <x:c r="A60" s="1" t="n">
        <x:v>0.1300005</x:v>
      </x:c>
      <x:c r="B60" s="1" t="n">
        <x:v>0.0008089900952400162</x:v>
      </x:c>
      <x:c r="C60" s="1" t="n">
        <x:v>0.00014713790289474395</x:v>
      </x:c>
      <x:c r="D60" s="1" t="n">
        <x:v>0.00004623295231762191</x:v>
      </x:c>
      <x:c r="E60" s="1" t="n">
        <x:v>0.000009577349306518626</x:v>
      </x:c>
      <x:c r="F60" s="1" t="n">
        <x:v>0.000003875082999892132</x:v>
      </x:c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15" hidden="0" customHeight="1">
      <x:c r="A61" s="1" t="n">
        <x:v>0.1399989</x:v>
      </x:c>
      <x:c r="B61" s="1" t="n">
        <x:v>0.0008852431383346602</x:v>
      </x:c>
      <x:c r="C61" s="1" t="n">
        <x:v>0.0001752914927658068</x:v>
      </x:c>
      <x:c r="D61" s="1" t="n">
        <x:v>0.000060462606734051826</x:v>
      </x:c>
      <x:c r="E61" s="1" t="n">
        <x:v>0.000012965286946313524</x:v>
      </x:c>
      <x:c r="F61" s="1" t="n">
        <x:v>0.00000535227995787721</x:v>
      </x:c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15" hidden="0" customHeight="1">
      <x:c r="A62" s="1" t="n">
        <x:v>0.1500007</x:v>
      </x:c>
      <x:c r="B62" s="1" t="n">
        <x:v>0.0009660508422229431</x:v>
      </x:c>
      <x:c r="C62" s="1" t="n">
        <x:v>0.0002067587592875732</x:v>
      </x:c>
      <x:c r="D62" s="1" t="n">
        <x:v>0.00008078076532945081</x:v>
      </x:c>
      <x:c r="E62" s="1" t="n">
        <x:v>0.00001980107380532553</x:v>
      </x:c>
      <x:c r="F62" s="1" t="n">
        <x:v>0.000007726516616446367</x:v>
      </x:c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15" hidden="0" customHeight="1">
      <x:c r="A63" s="1" t="n">
        <x:v>0.1599998</x:v>
      </x:c>
      <x:c r="B63" s="1" t="n">
        <x:v>0.001052618964753729</x:v>
      </x:c>
      <x:c r="C63" s="1" t="n">
        <x:v>0.0002422587998606974</x:v>
      </x:c>
      <x:c r="D63" s="1" t="n">
        <x:v>0.00010178630351373416</x:v>
      </x:c>
      <x:c r="E63" s="1" t="n">
        <x:v>0.000027396739927609723</x:v>
      </x:c>
      <x:c r="F63" s="1" t="n">
        <x:v>0.000011174363006242265</x:v>
      </x:c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15" hidden="0" customHeight="1">
      <x:c r="A64" s="1" t="n">
        <x:v>0.1699995</x:v>
      </x:c>
      <x:c r="B64" s="1" t="n">
        <x:v>0.0011372008335947279</x:v>
      </x:c>
      <x:c r="C64" s="1" t="n">
        <x:v>0.00028184678819878465</x:v>
      </x:c>
      <x:c r="D64" s="1" t="n">
        <x:v>0.00013192775984467386</x:v>
      </x:c>
      <x:c r="E64" s="1" t="n">
        <x:v>0.00003724997293955778</x:v>
      </x:c>
      <x:c r="F64" s="1" t="n">
        <x:v>0.00001579986118930764</x:v>
      </x:c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15" hidden="0" customHeight="1">
      <x:c r="A65" s="1" t="n">
        <x:v>0.1799993</x:v>
      </x:c>
      <x:c r="B65" s="1" t="n">
        <x:v>0.0012276724256275507</x:v>
      </x:c>
      <x:c r="C65" s="1" t="n">
        <x:v>0.0003267207012423702</x:v>
      </x:c>
      <x:c r="D65" s="1" t="n">
        <x:v>0.0001656747193299704</x:v>
      </x:c>
      <x:c r="E65" s="1" t="n">
        <x:v>0.000052632064762139594</x:v>
      </x:c>
      <x:c r="F65" s="1" t="n">
        <x:v>0.00002297302398933054</x:v>
      </x:c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15" hidden="0" customHeight="1">
      <x:c r="A66" s="1" t="n">
        <x:v>0.1899991</x:v>
      </x:c>
      <x:c r="B66" s="1" t="n">
        <x:v>0.0013206996923687778</x:v>
      </x:c>
      <x:c r="C66" s="1" t="n">
        <x:v>0.0003755613213520479</x:v>
      </x:c>
      <x:c r="D66" s="1" t="n">
        <x:v>0.00020981878317230163</x:v>
      </x:c>
      <x:c r="E66" s="1" t="n">
        <x:v>0.00007018029072796724</x:v>
      </x:c>
      <x:c r="F66" s="1" t="n">
        <x:v>0.000032731669450210824</x:v>
      </x:c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15" hidden="0" customHeight="1">
      <x:c r="A67" s="1" t="n">
        <x:v>0.1999995</x:v>
      </x:c>
      <x:c r="B67" s="1" t="n">
        <x:v>0.0014080876396953127</x:v>
      </x:c>
      <x:c r="C67" s="1" t="n">
        <x:v>0.00043148044597515045</x:v>
      </x:c>
      <x:c r="D67" s="1" t="n">
        <x:v>0.0002595578859873808</x:v>
      </x:c>
      <x:c r="E67" s="1" t="n">
        <x:v>0.00009908418651563645</x:v>
      </x:c>
      <x:c r="F67" s="1" t="n">
        <x:v>0.00004624085419669932</x:v>
      </x:c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15" hidden="0" customHeight="1">
      <x:c r="A68" s="1" t="n">
        <x:v>0.2100006</x:v>
      </x:c>
      <x:c r="B68" s="1" t="n">
        <x:v>0.001507226456251269</x:v>
      </x:c>
      <x:c r="C68" s="1" t="n">
        <x:v>0.0004984398306906515</x:v>
      </x:c>
      <x:c r="D68" s="1" t="n">
        <x:v>0.0003165869925513713</x:v>
      </x:c>
      <x:c r="E68" s="1" t="n">
        <x:v>0.00012593543624481393</x:v>
      </x:c>
      <x:c r="F68" s="1" t="n">
        <x:v>0.0000645852227027438</x:v>
      </x:c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15" hidden="0" customHeight="1">
      <x:c r="A69" s="1" t="n">
        <x:v>0.2199997</x:v>
      </x:c>
      <x:c r="B69" s="1" t="n">
        <x:v>0.0016129491944930504</x:v>
      </x:c>
      <x:c r="C69" s="1" t="n">
        <x:v>0.0005620760601943939</x:v>
      </x:c>
      <x:c r="D69" s="1" t="n">
        <x:v>0.00038337929994439104</x:v>
      </x:c>
      <x:c r="E69" s="1" t="n">
        <x:v>0.00017400510981015448</x:v>
      </x:c>
      <x:c r="F69" s="1" t="n">
        <x:v>0.00008947845636581544</x:v>
      </x:c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15" hidden="0" customHeight="1">
      <x:c r="A70" s="1" t="n">
        <x:v>0.2299994</x:v>
      </x:c>
      <x:c r="B70" s="1" t="n">
        <x:v>0.00171554966642902</x:v>
      </x:c>
      <x:c r="C70" s="1" t="n">
        <x:v>0.000629259393598708</x:v>
      </x:c>
      <x:c r="D70" s="1" t="n">
        <x:v>0.00045921146663396997</x:v>
      </x:c>
      <x:c r="E70" s="1" t="n">
        <x:v>0.0002258221395622414</x:v>
      </x:c>
      <x:c r="F70" s="1" t="n">
        <x:v>0.00012266101705514298</x:v>
      </x:c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 ht="15" hidden="0" customHeight="1">
      <x:c r="A71" s="1" t="n">
        <x:v>0.2399992</x:v>
      </x:c>
      <x:c r="B71" s="1" t="n">
        <x:v>0.001822124060455169</x:v>
      </x:c>
      <x:c r="C71" s="1" t="n">
        <x:v>0.0007024476076381139</x:v>
      </x:c>
      <x:c r="D71" s="1" t="n">
        <x:v>0.000539892836865203</x:v>
      </x:c>
      <x:c r="E71" s="1" t="n">
        <x:v>0.0002813738638411576</x:v>
      </x:c>
      <x:c r="F71" s="1" t="n">
        <x:v>0.00016597117973120296</x:v>
      </x:c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 ht="15" hidden="0" customHeight="1">
      <x:c r="A72" s="1" t="n">
        <x:v>0.2500003</x:v>
      </x:c>
      <x:c r="B72" s="1" t="n">
        <x:v>0.0019355145301774668</x:v>
      </x:c>
      <x:c r="C72" s="1" t="n">
        <x:v>0.0007891262190671707</x:v>
      </x:c>
      <x:c r="D72" s="1" t="n">
        <x:v>0.0006359816788272763</x:v>
      </x:c>
      <x:c r="E72" s="1" t="n">
        <x:v>0.000359198650418247</x:v>
      </x:c>
      <x:c r="F72" s="1" t="n">
        <x:v>0.00021991961248117654</x:v>
      </x:c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 ht="15" hidden="0" customHeight="1">
      <x:c r="A73" s="1" t="n">
        <x:v>0.2599987</x:v>
      </x:c>
      <x:c r="B73" s="1" t="n">
        <x:v>0.0020463005176754785</x:v>
      </x:c>
      <x:c r="C73" s="1" t="n">
        <x:v>0.0008739255289281982</x:v>
      </x:c>
      <x:c r="D73" s="1" t="n">
        <x:v>0.0007334010561135978</x:v>
      </x:c>
      <x:c r="E73" s="1" t="n">
        <x:v>0.0004466765733392763</x:v>
      </x:c>
      <x:c r="F73" s="1" t="n">
        <x:v>0.0002847301932583463</x:v>
      </x:c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 ht="15" hidden="0" customHeight="1">
      <x:c r="A74" s="1" t="n">
        <x:v>0.2699998</x:v>
      </x:c>
      <x:c r="B74" s="1" t="n">
        <x:v>0.0021717344187803657</x:v>
      </x:c>
      <x:c r="C74" s="1" t="n">
        <x:v>0.0009707364391831969</x:v>
      </x:c>
      <x:c r="D74" s="1" t="n">
        <x:v>0.0008369058110684508</x:v>
      </x:c>
      <x:c r="E74" s="1" t="n">
        <x:v>0.0005303927807609159</x:v>
      </x:c>
      <x:c r="F74" s="1" t="n">
        <x:v>0.000362748936659417</x:v>
      </x:c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 ht="15" hidden="0" customHeight="1">
      <x:c r="A75" s="1" t="n">
        <x:v>0.2799996</x:v>
      </x:c>
      <x:c r="B75" s="1" t="n">
        <x:v>0.0022906705540752877</x:v>
      </x:c>
      <x:c r="C75" s="1" t="n">
        <x:v>0.001067280817960164</x:v>
      </x:c>
      <x:c r="D75" s="1" t="n">
        <x:v>0.0009527656581522321</x:v>
      </x:c>
      <x:c r="E75" s="1" t="n">
        <x:v>0.0006389266904464122</x:v>
      </x:c>
      <x:c r="F75" s="1" t="n">
        <x:v>0.00045119324839490037</x:v>
      </x:c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 ht="15" hidden="0" customHeight="1">
      <x:c r="A76" s="1" t="n">
        <x:v>0.2899993</x:v>
      </x:c>
      <x:c r="B76" s="1" t="n">
        <x:v>0.0024193766808101444</x:v>
      </x:c>
      <x:c r="C76" s="1" t="n">
        <x:v>0.0011740426611415102</x:v>
      </x:c>
      <x:c r="D76" s="1" t="n">
        <x:v>0.0010661961641846586</x:v>
      </x:c>
      <x:c r="E76" s="1" t="n">
        <x:v>0.000754632051132099</x:v>
      </x:c>
      <x:c r="F76" s="1" t="n">
        <x:v>0.0005480986613183304</x:v>
      </x:c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 ht="15" hidden="0" customHeight="1">
      <x:c r="A77" s="1" t="n">
        <x:v>0.3000004</x:v>
      </x:c>
      <x:c r="B77" s="1" t="n">
        <x:v>0.0025557279036558327</x:v>
      </x:c>
      <x:c r="C77" s="1" t="n">
        <x:v>0.001277064999779969</x:v>
      </x:c>
      <x:c r="D77" s="1" t="n">
        <x:v>0.0011940203603281953</x:v>
      </x:c>
      <x:c r="E77" s="1" t="n">
        <x:v>0.0008721803553232596</x:v>
      </x:c>
      <x:c r="F77" s="1" t="n">
        <x:v>0.0006579142988121934</x:v>
      </x:c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 ht="15" hidden="0" customHeight="1">
      <x:c r="A78" s="1" t="n">
        <x:v>0.3100002</x:v>
      </x:c>
      <x:c r="B78" s="1" t="n">
        <x:v>0.00268538613062803</x:v>
      </x:c>
      <x:c r="C78" s="1" t="n">
        <x:v>0.0013898837849466807</x:v>
      </x:c>
      <x:c r="D78" s="1" t="n">
        <x:v>0.0013213099373340037</x:v>
      </x:c>
      <x:c r="E78" s="1" t="n">
        <x:v>0.0009918855273032018</x:v>
      </x:c>
      <x:c r="F78" s="1" t="n">
        <x:v>0.0007737410416678117</x:v>
      </x:c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 ht="15" hidden="0" customHeight="1">
      <x:c r="A79" s="1" t="n">
        <x:v>0.3199993</x:v>
      </x:c>
      <x:c r="B79" s="1" t="n">
        <x:v>0.0028293965966906033</x:v>
      </x:c>
      <x:c r="C79" s="1" t="n">
        <x:v>0.0014987964126612057</x:v>
      </x:c>
      <x:c r="D79" s="1" t="n">
        <x:v>0.0014533513857918243</x:v>
      </x:c>
      <x:c r="E79" s="1" t="n">
        <x:v>0.0011310415553948813</x:v>
      </x:c>
      <x:c r="F79" s="1" t="n">
        <x:v>0.000894992633810365</x:v>
      </x:c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 ht="15" hidden="0" customHeight="1">
      <x:c r="A80" s="1" t="n">
        <x:v>0.3299997</x:v>
      </x:c>
      <x:c r="B80" s="1" t="n">
        <x:v>0.002962891518824269</x:v>
      </x:c>
      <x:c r="C80" s="1" t="n">
        <x:v>0.0016215862196448595</x:v>
      </x:c>
      <x:c r="D80" s="1" t="n">
        <x:v>0.0015837990212817575</x:v>
      </x:c>
      <x:c r="E80" s="1" t="n">
        <x:v>0.0012646783730022552</x:v>
      </x:c>
      <x:c r="F80" s="1" t="n">
        <x:v>0.0010279341211552526</x:v>
      </x:c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 ht="15" hidden="0" customHeight="1">
      <x:c r="A81" s="1" t="n">
        <x:v>0.3400001</x:v>
      </x:c>
      <x:c r="B81" s="1" t="n">
        <x:v>0.0031122580792383617</x:v>
      </x:c>
      <x:c r="C81" s="1" t="n">
        <x:v>0.0017413513753544644</x:v>
      </x:c>
      <x:c r="D81" s="1" t="n">
        <x:v>0.0017265093682980953</x:v>
      </x:c>
      <x:c r="E81" s="1" t="n">
        <x:v>0.0014063080225872342</x:v>
      </x:c>
      <x:c r="F81" s="1" t="n">
        <x:v>0.0011606990526166038</x:v>
      </x:c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 ht="15" hidden="0" customHeight="1">
      <x:c r="A82" s="1" t="n">
        <x:v>0.3499999</x:v>
      </x:c>
      <x:c r="B82" s="1" t="n">
        <x:v>0.003258560376481458</x:v>
      </x:c>
      <x:c r="C82" s="1" t="n">
        <x:v>0.0018677246443012452</x:v>
      </x:c>
      <x:c r="D82" s="1" t="n">
        <x:v>0.0018662940937827532</x:v>
      </x:c>
      <x:c r="E82" s="1" t="n">
        <x:v>0.0015442659322673178</x:v>
      </x:c>
      <x:c r="F82" s="1" t="n">
        <x:v>0.0012999435001211123</x:v>
      </x:c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 ht="15" hidden="0" customHeight="1">
      <x:c r="A83" s="1" t="n">
        <x:v>0.3599996</x:v>
      </x:c>
      <x:c r="B83" s="1" t="n">
        <x:v>0.0034021138910185324</x:v>
      </x:c>
      <x:c r="C83" s="1" t="n">
        <x:v>0.0019922616188823967</x:v>
      </x:c>
      <x:c r="D83" s="1" t="n">
        <x:v>0.0020142516024340053</x:v>
      </x:c>
      <x:c r="E83" s="1" t="n">
        <x:v>0.0016953810749895132</x:v>
      </x:c>
      <x:c r="F83" s="1" t="n">
        <x:v>0.001439586330132062</x:v>
      </x:c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 ht="15" hidden="0" customHeight="1">
      <x:c r="A84" s="1" t="n">
        <x:v>0.37</x:v>
      </x:c>
      <x:c r="B84" s="1" t="n">
        <x:v>0.0035613890845118744</x:v>
      </x:c>
      <x:c r="C84" s="1" t="n">
        <x:v>0.002120608409123517</x:v>
      </x:c>
      <x:c r="D84" s="1" t="n">
        <x:v>0.0021617182065052317</x:v>
      </x:c>
      <x:c r="E84" s="1" t="n">
        <x:v>0.0018514943902800968</x:v>
      </x:c>
      <x:c r="F84" s="1" t="n">
        <x:v>0.0015872198700547094</x:v>
      </x:c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 ht="15" hidden="0" customHeight="1">
      <x:c r="A85" s="1" t="n">
        <x:v>0.3799991</x:v>
      </x:c>
      <x:c r="B85" s="1" t="n">
        <x:v>0.0037366236283431697</x:v>
      </x:c>
      <x:c r="C85" s="1" t="n">
        <x:v>0.0022453363696363785</x:v>
      </x:c>
      <x:c r="D85" s="1" t="n">
        <x:v>0.002316032009905923</x:v>
      </x:c>
      <x:c r="E85" s="1" t="n">
        <x:v>0.0019891032908538626</x:v>
      </x:c>
      <x:c r="F85" s="1" t="n">
        <x:v>0.0017330638010617013</x:v>
      </x:c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 ht="15" hidden="0" customHeight="1">
      <x:c r="A86" s="1" t="n">
        <x:v>0.3900009</x:v>
      </x:c>
      <x:c r="B86" s="1" t="n">
        <x:v>0.003872874406735885</x:v>
      </x:c>
      <x:c r="C86" s="1" t="n">
        <x:v>0.0023841378712503797</x:v>
      </x:c>
      <x:c r="D86" s="1" t="n">
        <x:v>0.002466756692501066</x:v>
      </x:c>
      <x:c r="E86" s="1" t="n">
        <x:v>0.002154757414466328</x:v>
      </x:c>
      <x:c r="F86" s="1" t="n">
        <x:v>0.0018840926464369758</x:v>
      </x:c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 ht="15" hidden="0" customHeight="1">
      <x:c r="A87" s="1" t="n">
        <x:v>0.3999993</x:v>
      </x:c>
      <x:c r="B87" s="1" t="n">
        <x:v>0.00404851497251089</x:v>
      </x:c>
      <x:c r="C87" s="1" t="n">
        <x:v>0.0025183684428987814</x:v>
      </x:c>
      <x:c r="D87" s="1" t="n">
        <x:v>0.002609791008246009</x:v>
      </x:c>
      <x:c r="E87" s="1" t="n">
        <x:v>0.0022997907162965055</x:v>
      </x:c>
      <x:c r="F87" s="1" t="n">
        <x:v>0.0020302987433589146</x:v>
      </x:c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 ht="15" hidden="0" customHeight="1">
      <x:c r="A88" s="1" t="n">
        <x:v>0.4099991</x:v>
      </x:c>
      <x:c r="B88" s="1" t="n">
        <x:v>0.004207006416328918</x:v>
      </x:c>
      <x:c r="C88" s="1" t="n">
        <x:v>0.002654162269765997</x:v>
      </x:c>
      <x:c r="D88" s="1" t="n">
        <x:v>0.0027689671719969833</x:v>
      </x:c>
      <x:c r="E88" s="1" t="n">
        <x:v>0.00245509764654209</x:v>
      </x:c>
      <x:c r="F88" s="1" t="n">
        <x:v>0.0021839080208781855</x:v>
      </x:c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 ht="15" hidden="0" customHeight="1">
      <x:c r="A89" s="1" t="n">
        <x:v>0.4199995</x:v>
      </x:c>
      <x:c r="B89" s="1" t="n">
        <x:v>0.004391896360041121</x:v>
      </x:c>
      <x:c r="C89" s="1" t="n">
        <x:v>0.0027987173994115963</x:v>
      </x:c>
      <x:c r="D89" s="1" t="n">
        <x:v>0.002925616662606961</x:v>
      </x:c>
      <x:c r="E89" s="1" t="n">
        <x:v>0.002618237829409006</x:v>
      </x:c>
      <x:c r="F89" s="1" t="n">
        <x:v>0.0023389150324754546</x:v>
      </x:c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 ht="15" hidden="0" customHeight="1">
      <x:c r="A90" s="1" t="n">
        <x:v>0.4299993</x:v>
      </x:c>
      <x:c r="B90" s="1" t="n">
        <x:v>0.004554612129726459</x:v>
      </x:c>
      <x:c r="C90" s="1" t="n">
        <x:v>0.002930473642211396</x:v>
      </x:c>
      <x:c r="D90" s="1" t="n">
        <x:v>0.0030877679627607994</x:v>
      </x:c>
      <x:c r="E90" s="1" t="n">
        <x:v>0.0027790508133302676</x:v>
      </x:c>
      <x:c r="F90" s="1" t="n">
        <x:v>0.0024921946824237</x:v>
      </x:c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 ht="15" hidden="0" customHeight="1">
      <x:c r="A91" s="1" t="n">
        <x:v>0.4400004</x:v>
      </x:c>
      <x:c r="B91" s="1" t="n">
        <x:v>0.004736794317340192</x:v>
      </x:c>
      <x:c r="C91" s="1" t="n">
        <x:v>0.003066345278161901</x:v>
      </x:c>
      <x:c r="D91" s="1" t="n">
        <x:v>0.003233293583881608</x:v>
      </x:c>
      <x:c r="E91" s="1" t="n">
        <x:v>0.002934656247513562</x:v>
      </x:c>
      <x:c r="F91" s="1" t="n">
        <x:v>0.0026431216686353953</x:v>
      </x:c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 ht="15" hidden="0" customHeight="1">
      <x:c r="A92" s="1" t="n">
        <x:v>0.4500008</x:v>
      </x:c>
      <x:c r="B92" s="1" t="n">
        <x:v>0.004918611509617768</x:v>
      </x:c>
      <x:c r="C92" s="1" t="n">
        <x:v>0.0032215715699029854</x:v>
      </x:c>
      <x:c r="D92" s="1" t="n">
        <x:v>0.0033977381299265747</x:v>
      </x:c>
      <x:c r="E92" s="1" t="n">
        <x:v>0.0030969900453354797</x:v>
      </x:c>
      <x:c r="F92" s="1" t="n">
        <x:v>0.002803272567993395</x:v>
      </x:c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 ht="15" hidden="0" customHeight="1">
      <x:c r="A93" s="1" t="n">
        <x:v>0.4600005</x:v>
      </x:c>
      <x:c r="B93" s="1" t="n">
        <x:v>0.005093219336650932</x:v>
      </x:c>
      <x:c r="C93" s="1" t="n">
        <x:v>0.0033806260685419072</x:v>
      </x:c>
      <x:c r="D93" s="1" t="n">
        <x:v>0.003553855689348974</x:v>
      </x:c>
      <x:c r="E93" s="1" t="n">
        <x:v>0.0032620174521498144</x:v>
      </x:c>
      <x:c r="F93" s="1" t="n">
        <x:v>0.002956962484017166</x:v>
      </x:c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 ht="15" hidden="0" customHeight="1">
      <x:c r="A94" s="1" t="n">
        <x:v>0.4700003</x:v>
      </x:c>
      <x:c r="B94" s="1" t="n">
        <x:v>0.005274080184559352</x:v>
      </x:c>
      <x:c r="C94" s="1" t="n">
        <x:v>0.003516767914218017</x:v>
      </x:c>
      <x:c r="D94" s="1" t="n">
        <x:v>0.0037201308709171495</x:v>
      </x:c>
      <x:c r="E94" s="1" t="n">
        <x:v>0.0034183090209766614</x:v>
      </x:c>
      <x:c r="F94" s="1" t="n">
        <x:v>0.0031227198815038156</x:v>
      </x:c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 ht="15" hidden="0" customHeight="1">
      <x:c r="A95" s="1" t="n">
        <x:v>0.4800001</x:v>
      </x:c>
      <x:c r="B95" s="1" t="n">
        <x:v>0.005476852070322059</x:v>
      </x:c>
      <x:c r="C95" s="1" t="n">
        <x:v>0.0036756809417964127</x:v>
      </x:c>
      <x:c r="D95" s="1" t="n">
        <x:v>0.0038790863398137027</x:v>
      </x:c>
      <x:c r="E95" s="1" t="n">
        <x:v>0.0035866963654784915</x:v>
      </x:c>
      <x:c r="F95" s="1" t="n">
        <x:v>0.003278691725733873</x:v>
      </x:c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 ht="15" hidden="0" customHeight="1">
      <x:c r="A96" s="1" t="n">
        <x:v>0.4899992</x:v>
      </x:c>
      <x:c r="B96" s="1" t="n">
        <x:v>0.005669737958375199</x:v>
      </x:c>
      <x:c r="C96" s="1" t="n">
        <x:v>0.0038341228707432567</x:v>
      </x:c>
      <x:c r="D96" s="1" t="n">
        <x:v>0.004040670341014832</x:v>
      </x:c>
      <x:c r="E96" s="1" t="n">
        <x:v>0.0037495408738289085</x:v>
      </x:c>
      <x:c r="F96" s="1" t="n">
        <x:v>0.0034375594825729002</x:v>
      </x:c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 ht="15" hidden="0" customHeight="1">
      <x:c r="A97" s="1" t="n">
        <x:v>0.4999996</x:v>
      </x:c>
      <x:c r="B97" s="1" t="n">
        <x:v>0.005873668492123615</x:v>
      </x:c>
      <x:c r="C97" s="1" t="n">
        <x:v>0.0039840001416858485</x:v>
      </x:c>
      <x:c r="D97" s="1" t="n">
        <x:v>0.00422875328656311</x:v>
      </x:c>
      <x:c r="E97" s="1" t="n">
        <x:v>0.003927866560332699</x:v>
      </x:c>
      <x:c r="F97" s="1" t="n">
        <x:v>0.0035902025127487777</x:v>
      </x:c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 ht="15" hidden="0" customHeight="1">
      <x:c r="A98" s="1" t="n">
        <x:v>0.5099993</x:v>
      </x:c>
      <x:c r="B98" s="1" t="n">
        <x:v>0.0060704108812866964</x:v>
      </x:c>
      <x:c r="C98" s="1" t="n">
        <x:v>0.004129814363770129</x:v>
      </x:c>
      <x:c r="D98" s="1" t="n">
        <x:v>0.0043999799552497</x:v>
      </x:c>
      <x:c r="E98" s="1" t="n">
        <x:v>0.004085128620634755</x:v>
      </x:c>
      <x:c r="F98" s="1" t="n">
        <x:v>0.0037415638151162885</x:v>
      </x:c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 ht="15" hidden="0" customHeight="1">
      <x:c r="A99" s="1" t="n">
        <x:v>0.5199991</x:v>
      </x:c>
      <x:c r="B99" s="1" t="n">
        <x:v>0.006276892138256399</x:v>
      </x:c>
      <x:c r="C99" s="1" t="n">
        <x:v>0.004282294702226402</x:v>
      </x:c>
      <x:c r="D99" s="1" t="n">
        <x:v>0.004555545777536048</x:v>
      </x:c>
      <x:c r="E99" s="1" t="n">
        <x:v>0.00427173460831114</x:v>
      </x:c>
      <x:c r="F99" s="1" t="n">
        <x:v>0.003913278558961694</x:v>
      </x:c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 ht="15" hidden="0" customHeight="1">
      <x:c r="A100" s="1" t="n">
        <x:v>0.5300002</x:v>
      </x:c>
      <x:c r="B100" s="1" t="n">
        <x:v>0.0064723216759777985</x:v>
      </x:c>
      <x:c r="C100" s="1" t="n">
        <x:v>0.004450833420762996</x:v>
      </x:c>
      <x:c r="D100" s="1" t="n">
        <x:v>0.004726650781110585</x:v>
      </x:c>
      <x:c r="E100" s="1" t="n">
        <x:v>0.004421204442599417</x:v>
      </x:c>
      <x:c r="F100" s="1" t="n">
        <x:v>0.004074211793284402</x:v>
      </x:c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  <x:row r="101" ht="15" hidden="0" customHeight="1">
      <x:c r="A101" s="1" t="n">
        <x:v>0.5400006</x:v>
      </x:c>
      <x:c r="B101" s="1" t="n">
        <x:v>0.0066882800792921445</x:v>
      </x:c>
      <x:c r="C101" s="1" t="n">
        <x:v>0.004610803237163522</x:v>
      </x:c>
      <x:c r="D101" s="1" t="n">
        <x:v>0.004892391202069972</x:v>
      </x:c>
      <x:c r="E101" s="1" t="n">
        <x:v>0.004601926648868521</x:v>
      </x:c>
      <x:c r="F101" s="1" t="n">
        <x:v>0.004241822461663945</x:v>
      </x:c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</x:row>
    <x:row r="102" ht="15" hidden="0" customHeight="1">
      <x:c r="A102" s="1" t="n">
        <x:v>0.5499977</x:v>
      </x:c>
      <x:c r="B102" s="1" t="n">
        <x:v>0.006892794888520533</x:v>
      </x:c>
      <x:c r="C102" s="1" t="n">
        <x:v>0.004801963178278242</x:v>
      </x:c>
      <x:c r="D102" s="1" t="n">
        <x:v>0.0050704678995072364</x:v>
      </x:c>
      <x:c r="E102" s="1" t="n">
        <x:v>0.004774528416263425</x:v>
      </x:c>
      <x:c r="F102" s="1" t="n">
        <x:v>0.0044025675394761534</x:v>
      </x:c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</x:row>
    <x:row r="103" ht="15" hidden="0" customHeight="1">
      <x:c r="A103" s="1" t="n">
        <x:v>0.5599988</x:v>
      </x:c>
      <x:c r="B103" s="1" t="n">
        <x:v>0.007116350287785133</x:v>
      </x:c>
      <x:c r="C103" s="1" t="n">
        <x:v>0.004937605631110695</x:v>
      </x:c>
      <x:c r="D103" s="1" t="n">
        <x:v>0.005252188891463654</x:v>
      </x:c>
      <x:c r="E103" s="1" t="n">
        <x:v>0.004952759317156663</x:v>
      </x:c>
      <x:c r="F103" s="1" t="n">
        <x:v>0.004561637599931733</x:v>
      </x:c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</x:row>
    <x:row r="104" ht="15" hidden="0" customHeight="1">
      <x:c r="A104" s="1" t="n">
        <x:v>0.5700006</x:v>
      </x:c>
      <x:c r="B104" s="1" t="n">
        <x:v>0.00732835881908959</x:v>
      </x:c>
      <x:c r="C104" s="1" t="n">
        <x:v>0.0051400945747523494</x:v>
      </x:c>
      <x:c r="D104" s="1" t="n">
        <x:v>0.005439004256309619</x:v>
      </x:c>
      <x:c r="E104" s="1" t="n">
        <x:v>0.005122489222022886</x:v>
      </x:c>
      <x:c r="F104" s="1" t="n">
        <x:v>0.004711752542256009</x:v>
      </x:c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</x:row>
    <x:row r="105" ht="15" hidden="0" customHeight="1">
      <x:c r="A105" s="1" t="n">
        <x:v>0.5799983</x:v>
      </x:c>
      <x:c r="B105" s="1" t="n">
        <x:v>0.007557239189072393</x:v>
      </x:c>
      <x:c r="C105" s="1" t="n">
        <x:v>0.00528821053099139</x:v>
      </x:c>
      <x:c r="D105" s="1" t="n">
        <x:v>0.005613302261720231</x:v>
      </x:c>
      <x:c r="E105" s="1" t="n">
        <x:v>0.005308491128270825</x:v>
      </x:c>
      <x:c r="F105" s="1" t="n">
        <x:v>0.004904083863751887</x:v>
      </x:c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</x:row>
    <x:row r="106" ht="15" hidden="0" customHeight="1">
      <x:c r="A106" s="1" t="n">
        <x:v>0.5899994</x:v>
      </x:c>
      <x:c r="B106" s="1" t="n">
        <x:v>0.007776159996394158</x:v>
      </x:c>
      <x:c r="C106" s="1" t="n">
        <x:v>0.005466698909214786</x:v>
      </x:c>
      <x:c r="D106" s="1" t="n">
        <x:v>0.005781072792398168</x:v>
      </x:c>
      <x:c r="E106" s="1" t="n">
        <x:v>0.005487232739692564</x:v>
      </x:c>
      <x:c r="F106" s="1" t="n">
        <x:v>0.0050548071316364246</x:v>
      </x:c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</x:row>
    <x:row r="107" ht="15" hidden="0" customHeight="1">
      <x:c r="A107" s="1" t="n">
        <x:v>0.6000012</x:v>
      </x:c>
      <x:c r="B107" s="1" t="n">
        <x:v>0.008002827758990331</x:v>
      </x:c>
      <x:c r="C107" s="1" t="n">
        <x:v>0.005657633911343271</x:v>
      </x:c>
      <x:c r="D107" s="1" t="n">
        <x:v>0.005979676940717773</x:v>
      </x:c>
      <x:c r="E107" s="1" t="n">
        <x:v>0.005669768604957612</x:v>
      </x:c>
      <x:c r="F107" s="1" t="n">
        <x:v>0.005234097650773004</x:v>
      </x:c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</x:row>
    <x:row r="108" ht="15" hidden="0" customHeight="1">
      <x:c r="A108" s="1" t="n">
        <x:v>0.6099989</x:v>
      </x:c>
      <x:c r="B108" s="1" t="n">
        <x:v>0.008246839873607009</x:v>
      </x:c>
      <x:c r="C108" s="1" t="n">
        <x:v>0.00582710209474752</x:v>
      </x:c>
      <x:c r="D108" s="1" t="n">
        <x:v>0.006165783535550503</x:v>
      </x:c>
      <x:c r="E108" s="1" t="n">
        <x:v>0.0058480023352720616</x:v>
      </x:c>
      <x:c r="F108" s="1" t="n">
        <x:v>0.00541185462361348</x:v>
      </x:c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</x:row>
    <x:row r="109" ht="15" hidden="0" customHeight="1">
      <x:c r="A109" s="1" t="n">
        <x:v>0.619998</x:v>
      </x:c>
      <x:c r="B109" s="1" t="n">
        <x:v>0.008472116975678212</x:v>
      </x:c>
      <x:c r="C109" s="1" t="n">
        <x:v>0.006014446561359852</x:v>
      </x:c>
      <x:c r="D109" s="1" t="n">
        <x:v>0.006356067770800567</x:v>
      </x:c>
      <x:c r="E109" s="1" t="n">
        <x:v>0.006019953335788545</x:v>
      </x:c>
      <x:c r="F109" s="1" t="n">
        <x:v>0.005577116872388288</x:v>
      </x:c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</x:row>
    <x:row r="110" ht="15" hidden="0" customHeight="1">
      <x:c r="A110" s="1" t="n">
        <x:v>0.6299998</x:v>
      </x:c>
      <x:c r="B110" s="1" t="n">
        <x:v>0.008722585829497304</x:v>
      </x:c>
      <x:c r="C110" s="1" t="n">
        <x:v>0.0061768242152105335</x:v>
      </x:c>
      <x:c r="D110" s="1" t="n">
        <x:v>0.006557963950698616</x:v>
      </x:c>
      <x:c r="E110" s="1" t="n">
        <x:v>0.006219904288604361</x:v>
      </x:c>
      <x:c r="F110" s="1" t="n">
        <x:v>0.005760177595287888</x:v>
      </x:c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</x:row>
    <x:row r="111" ht="15" hidden="0" customHeight="1">
      <x:c r="A111" s="1" t="n">
        <x:v>0.6399989</x:v>
      </x:c>
      <x:c r="B111" s="1" t="n">
        <x:v>0.008974288310964182</x:v>
      </x:c>
      <x:c r="C111" s="1" t="n">
        <x:v>0.006356871604520928</x:v>
      </x:c>
      <x:c r="D111" s="1" t="n">
        <x:v>0.006746052555089316</x:v>
      </x:c>
      <x:c r="E111" s="1" t="n">
        <x:v>0.0064029126672115666</x:v>
      </x:c>
      <x:c r="F111" s="1" t="n">
        <x:v>0.0059334541796415025</x:v>
      </x:c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</x:row>
    <x:row r="112" ht="15" hidden="0" customHeight="1">
      <x:c r="A112" s="1" t="n">
        <x:v>0.6499993</x:v>
      </x:c>
      <x:c r="B112" s="1" t="n">
        <x:v>0.009186376066062533</x:v>
      </x:c>
      <x:c r="C112" s="1" t="n">
        <x:v>0.0065641649053780485</x:v>
      </x:c>
      <x:c r="D112" s="1" t="n">
        <x:v>0.0069325142422839645</x:v>
      </x:c>
      <x:c r="E112" s="1" t="n">
        <x:v>0.006581795749693831</x:v>
      </x:c>
      <x:c r="F112" s="1" t="n">
        <x:v>0.006107630519940062</x:v>
      </x:c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</x:row>
    <x:row r="113" ht="15" hidden="0" customHeight="1">
      <x:c r="A113" s="1" t="n">
        <x:v>0.6600004</x:v>
      </x:c>
      <x:c r="B113" s="1" t="n">
        <x:v>0.009433510446985023</x:v>
      </x:c>
      <x:c r="C113" s="1" t="n">
        <x:v>0.006708666276020648</x:v>
      </x:c>
      <x:c r="D113" s="1" t="n">
        <x:v>0.007165580740947736</x:v>
      </x:c>
      <x:c r="E113" s="1" t="n">
        <x:v>0.0067737182198247875</x:v>
      </x:c>
      <x:c r="F113" s="1" t="n">
        <x:v>0.006282739154527489</x:v>
      </x:c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</x:row>
    <x:row r="114" ht="15" hidden="0" customHeight="1">
      <x:c r="A114" s="1" t="n">
        <x:v>0.6699995</x:v>
      </x:c>
      <x:c r="B114" s="1" t="n">
        <x:v>0.009684474449515956</x:v>
      </x:c>
      <x:c r="C114" s="1" t="n">
        <x:v>0.006928730169511462</x:v>
      </x:c>
      <x:c r="D114" s="1" t="n">
        <x:v>0.007344701494811683</x:v>
      </x:c>
      <x:c r="E114" s="1" t="n">
        <x:v>0.006991647315012264</x:v>
      </x:c>
      <x:c r="F114" s="1" t="n">
        <x:v>0.006442938154046067</x:v>
      </x:c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</x:row>
    <x:row r="115" ht="15" hidden="0" customHeight="1">
      <x:c r="A115" s="1" t="n">
        <x:v>0.6799999</x:v>
      </x:c>
      <x:c r="B115" s="1" t="n">
        <x:v>0.009940579510386408</x:v>
      </x:c>
      <x:c r="C115" s="1" t="n">
        <x:v>0.0071130386671649035</x:v>
      </x:c>
      <x:c r="D115" s="1" t="n">
        <x:v>0.007552526726856383</x:v>
      </x:c>
      <x:c r="E115" s="1" t="n">
        <x:v>0.007173726228751813</x:v>
      </x:c>
      <x:c r="F115" s="1" t="n">
        <x:v>0.006627669650170482</x:v>
      </x:c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</x:row>
    <x:row r="116" ht="15" hidden="0" customHeight="1">
      <x:c r="A116" s="1" t="n">
        <x:v>0.690001</x:v>
      </x:c>
      <x:c r="B116" s="1" t="n">
        <x:v>0.010206482856908897</x:v>
      </x:c>
      <x:c r="C116" s="1" t="n">
        <x:v>0.007300544410786236</x:v>
      </x:c>
      <x:c r="D116" s="1" t="n">
        <x:v>0.007790271673491754</x:v>
      </x:c>
      <x:c r="E116" s="1" t="n">
        <x:v>0.007369621206262344</x:v>
      </x:c>
      <x:c r="F116" s="1" t="n">
        <x:v>0.006830939514066239</x:v>
      </x:c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</x:row>
    <x:row r="117" ht="15" hidden="0" customHeight="1">
      <x:c r="A117" s="1" t="n">
        <x:v>0.6999994</x:v>
      </x:c>
      <x:c r="B117" s="1" t="n">
        <x:v>0.010529015654249393</x:v>
      </x:c>
      <x:c r="C117" s="1" t="n">
        <x:v>0.00751326737094635</x:v>
      </x:c>
      <x:c r="D117" s="1" t="n">
        <x:v>0.007974205272834801</x:v>
      </x:c>
      <x:c r="E117" s="1" t="n">
        <x:v>0.007566681905311611</x:v>
      </x:c>
      <x:c r="F117" s="1" t="n">
        <x:v>0.007004732467790773</x:v>
      </x:c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</x:row>
    <x:row r="118" ht="15" hidden="0" customHeight="1">
      <x:c r="A118" s="1" t="n">
        <x:v>0.7100005</x:v>
      </x:c>
      <x:c r="B118" s="1" t="n">
        <x:v>0.010742196980645612</x:v>
      </x:c>
      <x:c r="C118" s="1" t="n">
        <x:v>0.00767948454937971</x:v>
      </x:c>
      <x:c r="D118" s="1" t="n">
        <x:v>0.008192735620029512</x:v>
      </x:c>
      <x:c r="E118" s="1" t="n">
        <x:v>0.00777732524088199</x:v>
      </x:c>
      <x:c r="F118" s="1" t="n">
        <x:v>0.007223866896413932</x:v>
      </x:c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</x:row>
    <x:row r="119" ht="15" hidden="0" customHeight="1">
      <x:c r="A119" s="1" t="n">
        <x:v>0.7199983</x:v>
      </x:c>
      <x:c r="B119" s="1" t="n">
        <x:v>0.010997178761295487</x:v>
      </x:c>
      <x:c r="C119" s="1" t="n">
        <x:v>0.007884627490116832</x:v>
      </x:c>
      <x:c r="D119" s="1" t="n">
        <x:v>0.008437000967844532</x:v>
      </x:c>
      <x:c r="E119" s="1" t="n">
        <x:v>0.007960330790067985</x:v>
      </x:c>
      <x:c r="F119" s="1" t="n">
        <x:v>0.007370910502014185</x:v>
      </x:c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</x:row>
    <x:row r="120" ht="15" hidden="0" customHeight="1">
      <x:c r="A120" s="1" t="n">
        <x:v>0.7300014</x:v>
      </x:c>
      <x:c r="B120" s="1" t="n">
        <x:v>0.011269002671700997</x:v>
      </x:c>
      <x:c r="C120" s="1" t="n">
        <x:v>0.008088109560603381</x:v>
      </x:c>
      <x:c r="D120" s="1" t="n">
        <x:v>0.008608599705420307</x:v>
      </x:c>
      <x:c r="E120" s="1" t="n">
        <x:v>0.008193646277798283</x:v>
      </x:c>
      <x:c r="F120" s="1" t="n">
        <x:v>0.0075875861636053995</x:v>
      </x:c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</x:row>
    <x:row r="121" ht="15" hidden="0" customHeight="1">
      <x:c r="A121" s="1" t="n">
        <x:v>0.7400005</x:v>
      </x:c>
      <x:c r="B121" s="1" t="n">
        <x:v>0.011572644838329439</x:v>
      </x:c>
      <x:c r="C121" s="1" t="n">
        <x:v>0.008290824857941876</x:v>
      </x:c>
      <x:c r="D121" s="1" t="n">
        <x:v>0.008843847687837391</x:v>
      </x:c>
      <x:c r="E121" s="1" t="n">
        <x:v>0.008405562852913398</x:v>
      </x:c>
      <x:c r="F121" s="1" t="n">
        <x:v>0.007794624816553573</x:v>
      </x:c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</x:row>
    <x:row r="122" ht="15" hidden="0" customHeight="1">
      <x:c r="A122" s="1" t="n">
        <x:v>0.7499982</x:v>
      </x:c>
      <x:c r="B122" s="1" t="n">
        <x:v>0.011867186171634235</x:v>
      </x:c>
      <x:c r="C122" s="1" t="n">
        <x:v>0.008497856437337024</x:v>
      </x:c>
      <x:c r="D122" s="1" t="n">
        <x:v>0.009099098263502263</x:v>
      </x:c>
      <x:c r="E122" s="1" t="n">
        <x:v>0.008616002470156621</x:v>
      </x:c>
      <x:c r="F122" s="1" t="n">
        <x:v>0.007985482009598768</x:v>
      </x:c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</x:row>
    <x:row r="123" ht="15" hidden="0" customHeight="1">
      <x:c r="A123" s="1" t="n">
        <x:v>0.76</x:v>
      </x:c>
      <x:c r="B123" s="1" t="n">
        <x:v>0.012154199829808433</x:v>
      </x:c>
      <x:c r="C123" s="1" t="n">
        <x:v>0.008696849631073077</x:v>
      </x:c>
      <x:c r="D123" s="1" t="n">
        <x:v>0.009319559690673157</x:v>
      </x:c>
      <x:c r="E123" s="1" t="n">
        <x:v>0.008796765703033277</x:v>
      </x:c>
      <x:c r="F123" s="1" t="n">
        <x:v>0.008163884090475243</x:v>
      </x:c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</x:row>
    <x:row r="124" ht="15" hidden="0" customHeight="1">
      <x:c r="A124" s="1" t="n">
        <x:v>0.7700004</x:v>
      </x:c>
      <x:c r="B124" s="1" t="n">
        <x:v>0.012436904279479008</x:v>
      </x:c>
      <x:c r="C124" s="1" t="n">
        <x:v>0.008895036439764132</x:v>
      </x:c>
      <x:c r="D124" s="1" t="n">
        <x:v>0.009525163827067596</x:v>
      </x:c>
      <x:c r="E124" s="1" t="n">
        <x:v>0.00903593950737996</x:v>
      </x:c>
      <x:c r="F124" s="1" t="n">
        <x:v>0.00837886351405075</x:v>
      </x:c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</x:row>
    <x:row r="125" ht="15" hidden="0" customHeight="1">
      <x:c r="A125" s="1" t="n">
        <x:v>0.7799988</x:v>
      </x:c>
      <x:c r="B125" s="1" t="n">
        <x:v>0.012752635148229408</x:v>
      </x:c>
      <x:c r="C125" s="1" t="n">
        <x:v>0.009093456675705054</x:v>
      </x:c>
      <x:c r="D125" s="1" t="n">
        <x:v>0.009773824680733165</x:v>
      </x:c>
      <x:c r="E125" s="1" t="n">
        <x:v>0.009224534578167343</x:v>
      </x:c>
      <x:c r="F125" s="1" t="n">
        <x:v>0.00859860343881296</x:v>
      </x:c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</x:row>
    <x:row r="126" ht="15" hidden="0" customHeight="1">
      <x:c r="A126" s="1" t="n">
        <x:v>0.7899999</x:v>
      </x:c>
      <x:c r="B126" s="1" t="n">
        <x:v>0.013033380223711696</x:v>
      </x:c>
      <x:c r="C126" s="1" t="n">
        <x:v>0.009353307890258237</x:v>
      </x:c>
      <x:c r="D126" s="1" t="str"/>
      <x:c r="E126" s="1" t="n">
        <x:v>0.009451302785216492</x:v>
      </x:c>
      <x:c r="F126" s="1" t="n">
        <x:v>0.008808020220288579</x:v>
      </x:c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</x:row>
    <x:row r="127" ht="15" hidden="0" customHeight="1">
      <x:c r="A127" s="1" t="n">
        <x:v>0.7999997</x:v>
      </x:c>
      <x:c r="B127" s="1" t="n">
        <x:v>0.013327664079686333</x:v>
      </x:c>
      <x:c r="C127" s="1" t="str"/>
      <x:c r="D127" s="1" t="str"/>
      <x:c r="E127" s="1" t="n">
        <x:v>0.009683794911374527</x:v>
      </x:c>
      <x:c r="F127" s="1" t="n">
        <x:v>0.00900855120445255</x:v>
      </x:c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</x:row>
    <x:row r="128" ht="15" hidden="0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</x:row>
    <x:row r="129" ht="15" hidden="0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</x:row>
    <x:row r="130" ht="15" hidden="0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</x:row>
    <x:row r="131" ht="15" hidden="0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</x:row>
    <x:row r="132" ht="15" hidden="0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</x:row>
    <x:row r="133" ht="15" hidden="0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</x:row>
    <x:row r="134" ht="15" hidden="0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</x:row>
    <x:row r="135" ht="15" hidden="0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</x:row>
    <x:row r="136" ht="15" hidden="0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</x:row>
    <x:row r="137" ht="15" hidden="0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</x:row>
    <x:row r="138" ht="15" hidden="0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</x:row>
    <x:row r="139" ht="15" hidden="0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</x:row>
    <x:row r="140" ht="15" hidden="0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</x:row>
    <x:row r="141" ht="15" hidden="0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</x:row>
    <x:row r="142" ht="15" hidden="0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</x:row>
    <x:row r="143" ht="15" hidden="0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</x:row>
    <x:row r="144" ht="15" hidden="0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</x:row>
    <x:row r="145" ht="15" hidden="0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</x:row>
    <x:row r="146" ht="15" hidden="0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</x:row>
    <x:row r="147" ht="15" hidden="0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</x:row>
    <x:row r="148" ht="15" hidden="0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</x:row>
    <x:row r="149" ht="15" hidden="0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</x:row>
    <x:row r="150" ht="15" hidden="0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</x:row>
    <x:row r="151" ht="15" hidden="0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</x:row>
    <x:row r="152" ht="15" hidden="0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</x:row>
    <x:row r="153" ht="15" hidden="0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</x:row>
    <x:row r="154" ht="15" hidden="0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</x:row>
    <x:row r="155" ht="15" hidden="0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</x:row>
    <x:row r="156" ht="15" hidden="0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</x:row>
    <x:row r="157" ht="15" hidden="0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</x:row>
    <x:row r="158" ht="15" hidden="0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</x:row>
    <x:row r="159" ht="15" hidden="0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</x:row>
    <x:row r="160" ht="15" hidden="0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</x:row>
    <x:row r="161" ht="15" hidden="0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</x:row>
    <x:row r="162" ht="15" hidden="0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</x:row>
    <x:row r="163" ht="15" hidden="0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</x:row>
    <x:row r="164" ht="15" hidden="0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</x:row>
    <x:row r="165" ht="15" hidden="0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</x:row>
    <x:row r="166" ht="15" hidden="0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</x:row>
    <x:row r="167" ht="15" hidden="0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</x:row>
    <x:row r="168" ht="15" hidden="0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</x:row>
    <x:row r="169" ht="15" hidden="0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</x:row>
    <x:row r="170" ht="15" hidden="0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</x:row>
    <x:row r="171" ht="15" hidden="0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</x:row>
    <x:row r="172" ht="15" hidden="0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</x:row>
    <x:row r="173" ht="15" hidden="0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</x:row>
    <x:row r="174" ht="15" hidden="0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</x:row>
    <x:row r="175" ht="15" hidden="0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</x:row>
    <x:row r="176" ht="15" hidden="0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</x:row>
    <x:row r="177" ht="15" hidden="0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</x:row>
    <x:row r="178" ht="15" hidden="0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</x:row>
    <x:row r="179" ht="15" hidden="0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</x:row>
    <x:row r="180" ht="15" hidden="0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</x:row>
    <x:row r="181" ht="15" hidden="0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</x:row>
    <x:row r="182" ht="15" hidden="0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</x:row>
    <x:row r="183" ht="15" hidden="0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</x:row>
    <x:row r="184" ht="15" hidden="0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</x:row>
    <x:row r="185" ht="15" hidden="0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</x:row>
    <x:row r="186" ht="15" hidden="0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</x:row>
    <x:row r="187" ht="15" hidden="0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</x:row>
    <x:row r="188" ht="15" hidden="0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</x:row>
    <x:row r="189" ht="15" hidden="0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</x:row>
    <x:row r="190" ht="15" hidden="0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</x:row>
    <x:row r="191" ht="15" hidden="0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</x:row>
    <x:row r="192" ht="15" hidden="0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</x:row>
    <x:row r="193" ht="15" hidden="0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</x:row>
    <x:row r="194" ht="15" hidden="0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</x:row>
    <x:row r="195" ht="15" hidden="0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</x:row>
    <x:row r="196" ht="15" hidden="0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</x:row>
    <x:row r="197" ht="15" hidden="0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</x:row>
    <x:row r="198" ht="15" hidden="0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</x:row>
    <x:row r="199" ht="15" hidden="0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</x:row>
    <x:row r="200" ht="15" hidden="0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</x:row>
    <x:row r="201" ht="15" hidden="0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</x:row>
    <x:row r="202" ht="15" hidden="0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</x:row>
    <x:row r="203" ht="15" hidden="0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</x:row>
    <x:row r="204" ht="15" hidden="0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</x:row>
    <x:row r="205" ht="15" hidden="0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</x:row>
    <x:row r="206" ht="15" hidden="0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</x:row>
    <x:row r="207" ht="15" hidden="0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</x:row>
    <x:row r="208" ht="15" hidden="0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</x:row>
    <x:row r="209" ht="15" hidden="0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</x:row>
    <x:row r="210" ht="15" hidden="0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</x:row>
    <x:row r="211" ht="15" hidden="0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</x:row>
    <x:row r="212" ht="15" hidden="0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</x:row>
    <x:row r="213" ht="15" hidden="0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</x:row>
    <x:row r="214" ht="15" hidden="0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</x:row>
    <x:row r="215" ht="15" hidden="0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</x:row>
    <x:row r="216" ht="15" hidden="0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</x:row>
    <x:row r="217" ht="15" hidden="0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</x:row>
    <x:row r="218" ht="15" hidden="0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</x:row>
    <x:row r="219" ht="15" hidden="0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</x:row>
    <x:row r="220" ht="15" hidden="0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</x:row>
    <x:row r="221" ht="15" hidden="0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</x:row>
    <x:row r="222" ht="15" hidden="0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</x:row>
    <x:row r="223" ht="15" hidden="0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</x:row>
    <x:row r="224" ht="15" hidden="0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</x:row>
    <x:row r="225" ht="15" hidden="0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</x:row>
    <x:row r="226" ht="15" hidden="0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</x:row>
    <x:row r="227" ht="15" hidden="0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</x:row>
    <x:row r="228" ht="15" hidden="0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</x:row>
    <x:row r="229" ht="15" hidden="0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</x:row>
    <x:row r="230" ht="15" hidden="0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</x:row>
    <x:row r="231" ht="15" hidden="0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</x:row>
    <x:row r="232" ht="15" hidden="0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</x:row>
    <x:row r="233" ht="15" hidden="0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</x:row>
    <x:row r="234" ht="15" hidden="0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</x:row>
    <x:row r="235" ht="15" hidden="0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</x:row>
    <x:row r="236" ht="15" hidden="0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</x:row>
    <x:row r="237" ht="15" hidden="0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</x:row>
    <x:row r="238" ht="15" hidden="0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</x:row>
    <x:row r="239" ht="15" hidden="0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</x:row>
    <x:row r="240" ht="15" hidden="0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</x:row>
  </x:sheetData>
  <x:pageMargins left="0.7" right="0.7" top="0.75" bottom="0.75" header="0.3" footer="0.3"/>
  <x:drawing xmlns:r="http://schemas.openxmlformats.org/officeDocument/2006/relationships" r:id="R5e5d3baf50d34610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3.880001068115234" hidden="0" customWidth="1"/>
    <x:col min="2" max="2" width="8.380000114440918" hidden="0" customWidth="1"/>
    <x:col min="3" max="3" width="8.380000114440918" hidden="0" customWidth="1"/>
    <x:col min="4" max="4" width="8.380000114440918" hidden="0" customWidth="1"/>
    <x:col min="5" max="5" width="8.380000114440918" hidden="0" customWidth="1"/>
    <x:col min="6" max="6" width="8.380000114440918" hidden="0" customWidth="1"/>
  </x:cols>
  <x:sheetData>
    <x:row r="1" ht="15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19.200000762939453" hidden="0" customHeight="1">
      <x:c r="A2" s="2" t="str">
        <x:v>Capacitance-voltage curves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15" hidden="0" customHeight="1">
      <x:c r="A3" s="3" t="str">
        <x:v>10 kHz CP-RP data; display ends at +0.15 V to emphasize the transition near +0.06 V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15" hidden="0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</x:row>
    <x:row r="5" ht="15" hidden="0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15" hidden="0" customHeight="1">
      <x:c r="A6" s="9" t="str">
        <x:v>Bias voltage (V)</x:v>
      </x:c>
      <x:c r="B6" s="9" t="str">
        <x:v>1.csv</x:v>
      </x:c>
      <x:c r="C6" s="9" t="str">
        <x:v>2.csv</x:v>
      </x:c>
      <x:c r="D6" s="9" t="str">
        <x:v>3.csv</x:v>
      </x:c>
      <x:c r="E6" s="9" t="str">
        <x:v>4.csv</x:v>
      </x:c>
      <x:c r="F6" s="9" t="str">
        <x:v>5.csv</x:v>
      </x:c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15" hidden="0" customHeight="1">
      <x:c r="A7" s="1" t="n">
        <x:v>-3</x:v>
      </x:c>
      <x:c r="B7" s="1" t="n">
        <x:v>3.8305908</x:v>
      </x:c>
      <x:c r="C7" s="1" t="n">
        <x:v>3.6082977</x:v>
      </x:c>
      <x:c r="D7" s="1" t="n">
        <x:v>3.6073319</x:v>
      </x:c>
      <x:c r="E7" s="1" t="n">
        <x:v>3.8118901</x:v>
      </x:c>
      <x:c r="F7" s="1" t="n">
        <x:v>3.6072734</x:v>
      </x:c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15" hidden="0" customHeight="1">
      <x:c r="A8" s="1" t="n">
        <x:v>-2.95</x:v>
      </x:c>
      <x:c r="B8" s="1" t="str"/>
      <x:c r="C8" s="1" t="str"/>
      <x:c r="D8" s="1" t="str"/>
      <x:c r="E8" s="1" t="str"/>
      <x:c r="F8" s="1" t="str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15" hidden="0" customHeight="1">
      <x:c r="A9" s="1" t="n">
        <x:v>-2.9</x:v>
      </x:c>
      <x:c r="B9" s="1" t="n">
        <x:v>3.6611196</x:v>
      </x:c>
      <x:c r="C9" s="1" t="n">
        <x:v>3.6660549000000002</x:v>
      </x:c>
      <x:c r="D9" s="1" t="n">
        <x:v>3.6506662</x:v>
      </x:c>
      <x:c r="E9" s="1" t="n">
        <x:v>3.6791326</x:v>
      </x:c>
      <x:c r="F9" s="1" t="n">
        <x:v>3.6484197</x:v>
      </x:c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15" hidden="0" customHeight="1">
      <x:c r="A10" s="1" t="n">
        <x:v>-2.85</x:v>
      </x:c>
      <x:c r="B10" s="1" t="str"/>
      <x:c r="C10" s="1" t="str"/>
      <x:c r="D10" s="1" t="str"/>
      <x:c r="E10" s="1" t="str"/>
      <x:c r="F10" s="1" t="str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15" hidden="0" customHeight="1">
      <x:c r="A11" s="1" t="n">
        <x:v>-2.8</x:v>
      </x:c>
      <x:c r="B11" s="1" t="n">
        <x:v>3.7214017</x:v>
      </x:c>
      <x:c r="C11" s="1" t="n">
        <x:v>3.6945066000000004</x:v>
      </x:c>
      <x:c r="D11" s="1" t="n">
        <x:v>3.6953310000000004</x:v>
      </x:c>
      <x:c r="E11" s="1" t="n">
        <x:v>3.7207082999999996</x:v>
      </x:c>
      <x:c r="F11" s="1" t="n">
        <x:v>3.7110498000000005</x:v>
      </x:c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15" hidden="0" customHeight="1">
      <x:c r="A12" s="1" t="n">
        <x:v>-2.75</x:v>
      </x:c>
      <x:c r="B12" s="1" t="str"/>
      <x:c r="C12" s="1" t="str"/>
      <x:c r="D12" s="1" t="str"/>
      <x:c r="E12" s="1" t="str"/>
      <x:c r="F12" s="1" t="str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15" hidden="0" customHeight="1">
      <x:c r="A13" s="1" t="n">
        <x:v>-2.7</x:v>
      </x:c>
      <x:c r="B13" s="1" t="n">
        <x:v>3.7672279000000004</x:v>
      </x:c>
      <x:c r="C13" s="1" t="n">
        <x:v>3.7369427</x:v>
      </x:c>
      <x:c r="D13" s="1" t="n">
        <x:v>3.7598991</x:v>
      </x:c>
      <x:c r="E13" s="1" t="n">
        <x:v>3.7785374000000003</x:v>
      </x:c>
      <x:c r="F13" s="1" t="n">
        <x:v>3.7592425</x:v>
      </x:c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15" hidden="0" customHeight="1">
      <x:c r="A14" s="1" t="n">
        <x:v>-2.65</x:v>
      </x:c>
      <x:c r="B14" s="1" t="str"/>
      <x:c r="C14" s="1" t="str"/>
      <x:c r="D14" s="1" t="str"/>
      <x:c r="E14" s="1" t="str"/>
      <x:c r="F14" s="1" t="str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15" hidden="0" customHeight="1">
      <x:c r="A15" s="1" t="n">
        <x:v>-2.6</x:v>
      </x:c>
      <x:c r="B15" s="1" t="n">
        <x:v>3.8319734</x:v>
      </x:c>
      <x:c r="C15" s="1" t="n">
        <x:v>3.8181545999999997</x:v>
      </x:c>
      <x:c r="D15" s="1" t="n">
        <x:v>3.8001009</x:v>
      </x:c>
      <x:c r="E15" s="1" t="n">
        <x:v>3.8148036</x:v>
      </x:c>
      <x:c r="F15" s="1" t="n">
        <x:v>3.8111528</x:v>
      </x:c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15" hidden="0" customHeight="1">
      <x:c r="A16" s="1" t="n">
        <x:v>-2.55</x:v>
      </x:c>
      <x:c r="B16" s="1" t="str"/>
      <x:c r="C16" s="1" t="str"/>
      <x:c r="D16" s="1" t="str"/>
      <x:c r="E16" s="1" t="str"/>
      <x:c r="F16" s="1" t="str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15" hidden="0" customHeight="1">
      <x:c r="A17" s="1" t="n">
        <x:v>-2.5</x:v>
      </x:c>
      <x:c r="B17" s="1" t="n">
        <x:v>3.9086048</x:v>
      </x:c>
      <x:c r="C17" s="1" t="n">
        <x:v>3.8640710000000005</x:v>
      </x:c>
      <x:c r="D17" s="1" t="n">
        <x:v>3.8622825</x:v>
      </x:c>
      <x:c r="E17" s="1" t="n">
        <x:v>3.900505</x:v>
      </x:c>
      <x:c r="F17" s="1" t="n">
        <x:v>3.8714757</x:v>
      </x:c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15" hidden="0" customHeight="1">
      <x:c r="A18" s="1" t="n">
        <x:v>-2.45</x:v>
      </x:c>
      <x:c r="B18" s="1" t="str"/>
      <x:c r="C18" s="1" t="str"/>
      <x:c r="D18" s="1" t="str"/>
      <x:c r="E18" s="1" t="str"/>
      <x:c r="F18" s="1" t="str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15" hidden="0" customHeight="1">
      <x:c r="A19" s="1" t="n">
        <x:v>-2.4</x:v>
      </x:c>
      <x:c r="B19" s="1" t="n">
        <x:v>3.9581642</x:v>
      </x:c>
      <x:c r="C19" s="1" t="n">
        <x:v>3.9130635000000002</x:v>
      </x:c>
      <x:c r="D19" s="1" t="n">
        <x:v>3.9288157000000004</x:v>
      </x:c>
      <x:c r="E19" s="1" t="n">
        <x:v>3.9569394</x:v>
      </x:c>
      <x:c r="F19" s="1" t="n">
        <x:v>3.933473</x:v>
      </x:c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15" hidden="0" customHeight="1">
      <x:c r="A20" s="1" t="n">
        <x:v>-2.35</x:v>
      </x:c>
      <x:c r="B20" s="1" t="str"/>
      <x:c r="C20" s="1" t="str"/>
      <x:c r="D20" s="1" t="str"/>
      <x:c r="E20" s="1" t="str"/>
      <x:c r="F20" s="1" t="str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15" hidden="0" customHeight="1">
      <x:c r="A21" s="1" t="n">
        <x:v>-2.3</x:v>
      </x:c>
      <x:c r="B21" s="1" t="n">
        <x:v>4.010578</x:v>
      </x:c>
      <x:c r="C21" s="1" t="n">
        <x:v>3.9812767</x:v>
      </x:c>
      <x:c r="D21" s="1" t="n">
        <x:v>3.9768254</x:v>
      </x:c>
      <x:c r="E21" s="1" t="n">
        <x:v>4.0246296</x:v>
      </x:c>
      <x:c r="F21" s="1" t="n">
        <x:v>4.0161733</x:v>
      </x:c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15" hidden="0" customHeight="1">
      <x:c r="A22" s="1" t="n">
        <x:v>-2.25</x:v>
      </x:c>
      <x:c r="B22" s="1" t="str"/>
      <x:c r="C22" s="1" t="str"/>
      <x:c r="D22" s="1" t="str"/>
      <x:c r="E22" s="1" t="str"/>
      <x:c r="F22" s="1" t="str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15" hidden="0" customHeight="1">
      <x:c r="A23" s="1" t="n">
        <x:v>-2.2</x:v>
      </x:c>
      <x:c r="B23" s="1" t="n">
        <x:v>4.0966966000000005</x:v>
      </x:c>
      <x:c r="C23" s="1" t="n">
        <x:v>4.0458388</x:v>
      </x:c>
      <x:c r="D23" s="1" t="n">
        <x:v>4.0342704000000005</x:v>
      </x:c>
      <x:c r="E23" s="1" t="n">
        <x:v>4.09517</x:v>
      </x:c>
      <x:c r="F23" s="1" t="n">
        <x:v>4.0697229</x:v>
      </x:c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15" hidden="0" customHeight="1">
      <x:c r="A24" s="1" t="n">
        <x:v>-2.15</x:v>
      </x:c>
      <x:c r="B24" s="1" t="str"/>
      <x:c r="C24" s="1" t="str"/>
      <x:c r="D24" s="1" t="str"/>
      <x:c r="E24" s="1" t="str"/>
      <x:c r="F24" s="1" t="str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15" hidden="0" customHeight="1">
      <x:c r="A25" s="1" t="n">
        <x:v>-2.1</x:v>
      </x:c>
      <x:c r="B25" s="1" t="n">
        <x:v>4.1586405</x:v>
      </x:c>
      <x:c r="C25" s="1" t="n">
        <x:v>4.1261101</x:v>
      </x:c>
      <x:c r="D25" s="1" t="n">
        <x:v>4.1139402</x:v>
      </x:c>
      <x:c r="E25" s="1" t="n">
        <x:v>4.1436638</x:v>
      </x:c>
      <x:c r="F25" s="1" t="n">
        <x:v>4.1222005</x:v>
      </x:c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15" hidden="0" customHeight="1">
      <x:c r="A26" s="1" t="n">
        <x:v>-2.05</x:v>
      </x:c>
      <x:c r="B26" s="1" t="str"/>
      <x:c r="C26" s="1" t="str"/>
      <x:c r="D26" s="1" t="str"/>
      <x:c r="E26" s="1" t="str"/>
      <x:c r="F26" s="1" t="str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15" hidden="0" customHeight="1">
      <x:c r="A27" s="1" t="n">
        <x:v>-2</x:v>
      </x:c>
      <x:c r="B27" s="1" t="n">
        <x:v>4.2215793</x:v>
      </x:c>
      <x:c r="C27" s="1" t="n">
        <x:v>4.2023052000000005</x:v>
      </x:c>
      <x:c r="D27" s="1" t="n">
        <x:v>4.1953052</x:v>
      </x:c>
      <x:c r="E27" s="1" t="n">
        <x:v>4.2195258</x:v>
      </x:c>
      <x:c r="F27" s="1" t="n">
        <x:v>4.2125644</x:v>
      </x:c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15" hidden="0" customHeight="1">
      <x:c r="A28" s="1" t="n">
        <x:v>-1.95</x:v>
      </x:c>
      <x:c r="B28" s="1" t="str"/>
      <x:c r="C28" s="1" t="str"/>
      <x:c r="D28" s="1" t="str"/>
      <x:c r="E28" s="1" t="str"/>
      <x:c r="F28" s="1" t="str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15" hidden="0" customHeight="1">
      <x:c r="A29" s="1" t="n">
        <x:v>-1.9</x:v>
      </x:c>
      <x:c r="B29" s="1" t="n">
        <x:v>4.3297237</x:v>
      </x:c>
      <x:c r="C29" s="1" t="n">
        <x:v>4.2655823</x:v>
      </x:c>
      <x:c r="D29" s="1" t="n">
        <x:v>4.2822972</x:v>
      </x:c>
      <x:c r="E29" s="1" t="n">
        <x:v>4.3094504</x:v>
      </x:c>
      <x:c r="F29" s="1" t="n">
        <x:v>4.2884247</x:v>
      </x:c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15" hidden="0" customHeight="1">
      <x:c r="A30" s="1" t="n">
        <x:v>-1.85</x:v>
      </x:c>
      <x:c r="B30" s="1" t="str"/>
      <x:c r="C30" s="1" t="str"/>
      <x:c r="D30" s="1" t="str"/>
      <x:c r="E30" s="1" t="str"/>
      <x:c r="F30" s="1" t="str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15" hidden="0" customHeight="1">
      <x:c r="A31" s="1" t="n">
        <x:v>-1.8</x:v>
      </x:c>
      <x:c r="B31" s="1" t="n">
        <x:v>4.4220639</x:v>
      </x:c>
      <x:c r="C31" s="1" t="n">
        <x:v>4.3527621</x:v>
      </x:c>
      <x:c r="D31" s="1" t="n">
        <x:v>4.3481617</x:v>
      </x:c>
      <x:c r="E31" s="1" t="n">
        <x:v>4.394029</x:v>
      </x:c>
      <x:c r="F31" s="1" t="n">
        <x:v>4.3716138</x:v>
      </x:c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15" hidden="0" customHeight="1">
      <x:c r="A32" s="1" t="n">
        <x:v>-1.75</x:v>
      </x:c>
      <x:c r="B32" s="1" t="str"/>
      <x:c r="C32" s="1" t="str"/>
      <x:c r="D32" s="1" t="str"/>
      <x:c r="E32" s="1" t="str"/>
      <x:c r="F32" s="1" t="str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15" hidden="0" customHeight="1">
      <x:c r="A33" s="1" t="n">
        <x:v>-1.7</x:v>
      </x:c>
      <x:c r="B33" s="1" t="n">
        <x:v>4.4690133</x:v>
      </x:c>
      <x:c r="C33" s="1" t="n">
        <x:v>4.4454623</x:v>
      </x:c>
      <x:c r="D33" s="1" t="n">
        <x:v>4.4380624</x:v>
      </x:c>
      <x:c r="E33" s="1" t="n">
        <x:v>4.465281500000001</x:v>
      </x:c>
      <x:c r="F33" s="1" t="n">
        <x:v>4.4026046</x:v>
      </x:c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15" hidden="0" customHeight="1">
      <x:c r="A34" s="1" t="n">
        <x:v>-1.65</x:v>
      </x:c>
      <x:c r="B34" s="1" t="str"/>
      <x:c r="C34" s="1" t="str"/>
      <x:c r="D34" s="1" t="str"/>
      <x:c r="E34" s="1" t="str"/>
      <x:c r="F34" s="1" t="str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15" hidden="0" customHeight="1">
      <x:c r="A35" s="1" t="n">
        <x:v>-1.6</x:v>
      </x:c>
      <x:c r="B35" s="1" t="n">
        <x:v>4.565900200000001</x:v>
      </x:c>
      <x:c r="C35" s="1" t="n">
        <x:v>4.5388143</x:v>
      </x:c>
      <x:c r="D35" s="1" t="n">
        <x:v>4.537619</x:v>
      </x:c>
      <x:c r="E35" s="1" t="n">
        <x:v>4.5641581</x:v>
      </x:c>
      <x:c r="F35" s="1" t="n">
        <x:v>4.539529</x:v>
      </x:c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15" hidden="0" customHeight="1">
      <x:c r="A36" s="1" t="n">
        <x:v>-1.55</x:v>
      </x:c>
      <x:c r="B36" s="1" t="str"/>
      <x:c r="C36" s="1" t="str"/>
      <x:c r="D36" s="1" t="str"/>
      <x:c r="E36" s="1" t="str"/>
      <x:c r="F36" s="1" t="str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15" hidden="0" customHeight="1">
      <x:c r="A37" s="1" t="n">
        <x:v>-1.5</x:v>
      </x:c>
      <x:c r="B37" s="1" t="n">
        <x:v>4.7219473</x:v>
      </x:c>
      <x:c r="C37" s="1" t="n">
        <x:v>4.6509281</x:v>
      </x:c>
      <x:c r="D37" s="1" t="n">
        <x:v>4.6410346</x:v>
      </x:c>
      <x:c r="E37" s="1" t="n">
        <x:v>4.6903137</x:v>
      </x:c>
      <x:c r="F37" s="1" t="n">
        <x:v>4.666458700000001</x:v>
      </x:c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15" hidden="0" customHeight="1">
      <x:c r="A38" s="1" t="n">
        <x:v>-1.45</x:v>
      </x:c>
      <x:c r="B38" s="1" t="str"/>
      <x:c r="C38" s="1" t="str"/>
      <x:c r="D38" s="1" t="str"/>
      <x:c r="E38" s="1" t="str"/>
      <x:c r="F38" s="1" t="str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15" hidden="0" customHeight="1">
      <x:c r="A39" s="1" t="n">
        <x:v>-1.4</x:v>
      </x:c>
      <x:c r="B39" s="1" t="n">
        <x:v>4.8006083</x:v>
      </x:c>
      <x:c r="C39" s="1" t="n">
        <x:v>4.7648223</x:v>
      </x:c>
      <x:c r="D39" s="1" t="n">
        <x:v>4.7480054</x:v>
      </x:c>
      <x:c r="E39" s="1" t="n">
        <x:v>4.776105800000001</x:v>
      </x:c>
      <x:c r="F39" s="1" t="n">
        <x:v>4.7604729</x:v>
      </x:c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15" hidden="0" customHeight="1">
      <x:c r="A40" s="1" t="n">
        <x:v>-1.35</x:v>
      </x:c>
      <x:c r="B40" s="1" t="str"/>
      <x:c r="C40" s="1" t="str"/>
      <x:c r="D40" s="1" t="str"/>
      <x:c r="E40" s="1" t="str"/>
      <x:c r="F40" s="1" t="str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15" hidden="0" customHeight="1">
      <x:c r="A41" s="1" t="n">
        <x:v>-1.3</x:v>
      </x:c>
      <x:c r="B41" s="1" t="n">
        <x:v>4.9158833</x:v>
      </x:c>
      <x:c r="C41" s="1" t="n">
        <x:v>4.862796400000001</x:v>
      </x:c>
      <x:c r="D41" s="1" t="n">
        <x:v>4.8751724</x:v>
      </x:c>
      <x:c r="E41" s="1" t="n">
        <x:v>4.8931727</x:v>
      </x:c>
      <x:c r="F41" s="1" t="n">
        <x:v>4.8720473</x:v>
      </x:c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15" hidden="0" customHeight="1">
      <x:c r="A42" s="1" t="n">
        <x:v>-1.25</x:v>
      </x:c>
      <x:c r="B42" s="1" t="str"/>
      <x:c r="C42" s="1" t="str"/>
      <x:c r="D42" s="1" t="str"/>
      <x:c r="E42" s="1" t="str"/>
      <x:c r="F42" s="1" t="str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15" hidden="0" customHeight="1">
      <x:c r="A43" s="1" t="n">
        <x:v>-1.2</x:v>
      </x:c>
      <x:c r="B43" s="1" t="n">
        <x:v>5.0545363000000005</x:v>
      </x:c>
      <x:c r="C43" s="1" t="n">
        <x:v>5.0084391</x:v>
      </x:c>
      <x:c r="D43" s="1" t="n">
        <x:v>5.0053708</x:v>
      </x:c>
      <x:c r="E43" s="1" t="n">
        <x:v>5.0903127999999995</x:v>
      </x:c>
      <x:c r="F43" s="1" t="n">
        <x:v>4.978971700000001</x:v>
      </x:c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15" hidden="0" customHeight="1">
      <x:c r="A44" s="1" t="n">
        <x:v>-1.15</x:v>
      </x:c>
      <x:c r="B44" s="1" t="str"/>
      <x:c r="C44" s="1" t="str"/>
      <x:c r="D44" s="1" t="str"/>
      <x:c r="E44" s="1" t="str"/>
      <x:c r="F44" s="1" t="str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15" hidden="0" customHeight="1">
      <x:c r="A45" s="1" t="n">
        <x:v>-1.1</x:v>
      </x:c>
      <x:c r="B45" s="1" t="n">
        <x:v>5.1812843</x:v>
      </x:c>
      <x:c r="C45" s="1" t="n">
        <x:v>5.1286615</x:v>
      </x:c>
      <x:c r="D45" s="1" t="n">
        <x:v>5.1316938</x:v>
      </x:c>
      <x:c r="E45" s="1" t="n">
        <x:v>5.2433157999999995</x:v>
      </x:c>
      <x:c r="F45" s="1" t="n">
        <x:v>5.085096</x:v>
      </x:c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15" hidden="0" customHeight="1">
      <x:c r="A46" s="1" t="n">
        <x:v>-1.05</x:v>
      </x:c>
      <x:c r="B46" s="1" t="str"/>
      <x:c r="C46" s="1" t="str"/>
      <x:c r="D46" s="1" t="str"/>
      <x:c r="E46" s="1" t="str"/>
      <x:c r="F46" s="1" t="str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15" hidden="0" customHeight="1">
      <x:c r="A47" s="1" t="n">
        <x:v>-1</x:v>
      </x:c>
      <x:c r="B47" s="1" t="n">
        <x:v>5.3344821</x:v>
      </x:c>
      <x:c r="C47" s="1" t="n">
        <x:v>5.2935409</x:v>
      </x:c>
      <x:c r="D47" s="1" t="n">
        <x:v>5.2906222</x:v>
      </x:c>
      <x:c r="E47" s="1" t="n">
        <x:v>5.3215414999999995</x:v>
      </x:c>
      <x:c r="F47" s="1" t="n">
        <x:v>5.2356943000000005</x:v>
      </x:c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15" hidden="0" customHeight="1">
      <x:c r="A48" s="1" t="n">
        <x:v>-0.95</x:v>
      </x:c>
      <x:c r="B48" s="1" t="str"/>
      <x:c r="C48" s="1" t="str"/>
      <x:c r="D48" s="1" t="str"/>
      <x:c r="E48" s="1" t="str"/>
      <x:c r="F48" s="1" t="str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15" hidden="0" customHeight="1">
      <x:c r="A49" s="1" t="n">
        <x:v>-0.9</x:v>
      </x:c>
      <x:c r="B49" s="1" t="n">
        <x:v>5.5032724</x:v>
      </x:c>
      <x:c r="C49" s="1" t="n">
        <x:v>5.459625</x:v>
      </x:c>
      <x:c r="D49" s="1" t="n">
        <x:v>5.454928300000001</x:v>
      </x:c>
      <x:c r="E49" s="1" t="n">
        <x:v>5.484298</x:v>
      </x:c>
      <x:c r="F49" s="1" t="n">
        <x:v>5.454087400000001</x:v>
      </x:c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15" hidden="0" customHeight="1">
      <x:c r="A50" s="1" t="n">
        <x:v>-0.85</x:v>
      </x:c>
      <x:c r="B50" s="1" t="str"/>
      <x:c r="C50" s="1" t="str"/>
      <x:c r="D50" s="1" t="str"/>
      <x:c r="E50" s="1" t="str"/>
      <x:c r="F50" s="1" t="str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15" hidden="0" customHeight="1">
      <x:c r="A51" s="1" t="n">
        <x:v>-0.8</x:v>
      </x:c>
      <x:c r="B51" s="1" t="n">
        <x:v>5.625959</x:v>
      </x:c>
      <x:c r="C51" s="1" t="n">
        <x:v>5.6447750999999995</x:v>
      </x:c>
      <x:c r="D51" s="1" t="n">
        <x:v>5.6295663000000005</x:v>
      </x:c>
      <x:c r="E51" s="1" t="n">
        <x:v>5.6678378</x:v>
      </x:c>
      <x:c r="F51" s="1" t="n">
        <x:v>5.6623478</x:v>
      </x:c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15" hidden="0" customHeight="1">
      <x:c r="A52" s="1" t="n">
        <x:v>-0.75</x:v>
      </x:c>
      <x:c r="B52" s="1" t="str"/>
      <x:c r="C52" s="1" t="str"/>
      <x:c r="D52" s="1" t="str"/>
      <x:c r="E52" s="1" t="str"/>
      <x:c r="F52" s="1" t="str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15" hidden="0" customHeight="1">
      <x:c r="A53" s="1" t="n">
        <x:v>-0.7</x:v>
      </x:c>
      <x:c r="B53" s="1" t="n">
        <x:v>5.9007587</x:v>
      </x:c>
      <x:c r="C53" s="1" t="n">
        <x:v>5.8682153</x:v>
      </x:c>
      <x:c r="D53" s="1" t="n">
        <x:v>5.817685</x:v>
      </x:c>
      <x:c r="E53" s="1" t="n">
        <x:v>5.8154563</x:v>
      </x:c>
      <x:c r="F53" s="1" t="n">
        <x:v>5.8542534</x:v>
      </x:c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15" hidden="0" customHeight="1">
      <x:c r="A54" s="1" t="n">
        <x:v>-0.65</x:v>
      </x:c>
      <x:c r="B54" s="1" t="str"/>
      <x:c r="C54" s="1" t="str"/>
      <x:c r="D54" s="1" t="str"/>
      <x:c r="E54" s="1" t="str"/>
      <x:c r="F54" s="1" t="str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15" hidden="0" customHeight="1">
      <x:c r="A55" s="1" t="n">
        <x:v>-0.6</x:v>
      </x:c>
      <x:c r="B55" s="1" t="n">
        <x:v>6.121082899999999</x:v>
      </x:c>
      <x:c r="C55" s="1" t="n">
        <x:v>6.0714256</x:v>
      </x:c>
      <x:c r="D55" s="1" t="n">
        <x:v>6.004798699999999</x:v>
      </x:c>
      <x:c r="E55" s="1" t="n">
        <x:v>6.1341285</x:v>
      </x:c>
      <x:c r="F55" s="1" t="n">
        <x:v>6.0754415</x:v>
      </x:c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15" hidden="0" customHeight="1">
      <x:c r="A56" s="1" t="n">
        <x:v>-0.55</x:v>
      </x:c>
      <x:c r="B56" s="1" t="str"/>
      <x:c r="C56" s="1" t="str"/>
      <x:c r="D56" s="1" t="str"/>
      <x:c r="E56" s="1" t="str"/>
      <x:c r="F56" s="1" t="str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15" hidden="0" customHeight="1">
      <x:c r="A57" s="1" t="n">
        <x:v>-0.5</x:v>
      </x:c>
      <x:c r="B57" s="1" t="n">
        <x:v>6.3881527</x:v>
      </x:c>
      <x:c r="C57" s="1" t="n">
        <x:v>6.3322707</x:v>
      </x:c>
      <x:c r="D57" s="1" t="n">
        <x:v>6.1479615999999995</x:v>
      </x:c>
      <x:c r="E57" s="1" t="n">
        <x:v>6.3820504</x:v>
      </x:c>
      <x:c r="F57" s="1" t="n">
        <x:v>6.3275996</x:v>
      </x:c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15" hidden="0" customHeight="1">
      <x:c r="A58" s="1" t="n">
        <x:v>-0.45</x:v>
      </x:c>
      <x:c r="B58" s="1" t="str"/>
      <x:c r="C58" s="1" t="str"/>
      <x:c r="D58" s="1" t="str"/>
      <x:c r="E58" s="1" t="str"/>
      <x:c r="F58" s="1" t="str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15" hidden="0" customHeight="1">
      <x:c r="A59" s="1" t="n">
        <x:v>-0.4</x:v>
      </x:c>
      <x:c r="B59" s="1" t="n">
        <x:v>6.6911534</x:v>
      </x:c>
      <x:c r="C59" s="1" t="n">
        <x:v>6.6362862</x:v>
      </x:c>
      <x:c r="D59" s="1" t="n">
        <x:v>6.6222809</x:v>
      </x:c>
      <x:c r="E59" s="1" t="str"/>
      <x:c r="F59" s="1" t="n">
        <x:v>6.6212497</x:v>
      </x:c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15" hidden="0" customHeight="1">
      <x:c r="A60" s="1" t="n">
        <x:v>-0.35</x:v>
      </x:c>
      <x:c r="B60" s="1" t="str"/>
      <x:c r="C60" s="1" t="str"/>
      <x:c r="D60" s="1" t="str"/>
      <x:c r="E60" s="1" t="str"/>
      <x:c r="F60" s="1" t="str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15" hidden="0" customHeight="1">
      <x:c r="A61" s="1" t="n">
        <x:v>-0.3</x:v>
      </x:c>
      <x:c r="B61" s="1" t="n">
        <x:v>7.0340449000000005</x:v>
      </x:c>
      <x:c r="C61" s="1" t="str"/>
      <x:c r="D61" s="1" t="n">
        <x:v>6.9704131</x:v>
      </x:c>
      <x:c r="E61" s="1" t="str"/>
      <x:c r="F61" s="1" t="n">
        <x:v>6.9728902999999995</x:v>
      </x:c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15" hidden="0" customHeight="1">
      <x:c r="A62" s="1" t="n">
        <x:v>-0.25</x:v>
      </x:c>
      <x:c r="B62" s="1" t="str"/>
      <x:c r="C62" s="1" t="str"/>
      <x:c r="D62" s="1" t="str"/>
      <x:c r="E62" s="1" t="str"/>
      <x:c r="F62" s="1" t="str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15" hidden="0" customHeight="1">
      <x:c r="A63" s="1" t="n">
        <x:v>-0.2</x:v>
      </x:c>
      <x:c r="B63" s="1" t="n">
        <x:v>7.4857881</x:v>
      </x:c>
      <x:c r="C63" s="1" t="n">
        <x:v>7.418282200000001</x:v>
      </x:c>
      <x:c r="D63" s="1" t="n">
        <x:v>7.3845678999999995</x:v>
      </x:c>
      <x:c r="E63" s="1" t="n">
        <x:v>7.4501491</x:v>
      </x:c>
      <x:c r="F63" s="1" t="str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15" hidden="0" customHeight="1">
      <x:c r="A64" s="1" t="n">
        <x:v>-0.15</x:v>
      </x:c>
      <x:c r="B64" s="1" t="str"/>
      <x:c r="C64" s="1" t="str"/>
      <x:c r="D64" s="1" t="str"/>
      <x:c r="E64" s="1" t="str"/>
      <x:c r="F64" s="1" t="str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15" hidden="0" customHeight="1">
      <x:c r="A65" s="1" t="n">
        <x:v>-0.1</x:v>
      </x:c>
      <x:c r="B65" s="1" t="n">
        <x:v>7.990782600000001</x:v>
      </x:c>
      <x:c r="C65" s="1" t="str"/>
      <x:c r="D65" s="1" t="n">
        <x:v>7.9092714</x:v>
      </x:c>
      <x:c r="E65" s="1" t="str"/>
      <x:c r="F65" s="1" t="str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15" hidden="0" customHeight="1">
      <x:c r="A66" s="1" t="n">
        <x:v>-0.05</x:v>
      </x:c>
      <x:c r="B66" s="1" t="str"/>
      <x:c r="C66" s="1" t="str"/>
      <x:c r="D66" s="1" t="str"/>
      <x:c r="E66" s="1" t="str"/>
      <x:c r="F66" s="1" t="str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15" hidden="0" customHeight="1">
      <x:c r="A67" s="1" t="n">
        <x:v>0</x:v>
      </x:c>
      <x:c r="B67" s="1" t="n">
        <x:v>8.604638</x:v>
      </x:c>
      <x:c r="C67" s="1" t="str"/>
      <x:c r="D67" s="1" t="n">
        <x:v>8.5012857</x:v>
      </x:c>
      <x:c r="E67" s="1" t="str"/>
      <x:c r="F67" s="1" t="str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15" hidden="0" customHeight="1">
      <x:c r="A68" s="1" t="n">
        <x:v>0.05</x:v>
      </x:c>
      <x:c r="B68" s="1" t="str"/>
      <x:c r="C68" s="1" t="str"/>
      <x:c r="D68" s="1" t="str"/>
      <x:c r="E68" s="1" t="str"/>
      <x:c r="F68" s="1" t="str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15" hidden="0" customHeight="1">
      <x:c r="A69" s="1" t="n">
        <x:v>0.1</x:v>
      </x:c>
      <x:c r="B69" s="1" t="n">
        <x:v>9.3386645</x:v>
      </x:c>
      <x:c r="C69" s="1" t="str"/>
      <x:c r="D69" s="1" t="n">
        <x:v>9.296783999999999</x:v>
      </x:c>
      <x:c r="E69" s="1" t="n">
        <x:v>9.382680500000001</x:v>
      </x:c>
      <x:c r="F69" s="1" t="str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15" hidden="0" customHeight="1">
      <x:c r="A70" s="1" t="n">
        <x:v>0.15</x:v>
      </x:c>
      <x:c r="B70" s="1" t="str"/>
      <x:c r="C70" s="1" t="str"/>
      <x:c r="D70" s="1" t="str"/>
      <x:c r="E70" s="1" t="str"/>
      <x:c r="F70" s="1" t="str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 ht="15" hidden="0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 ht="15" hidden="0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 ht="15" hidden="0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 ht="15" hidden="0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 ht="15" hidden="0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 ht="15" hidden="0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 ht="15" hidden="0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 ht="15" hidden="0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 ht="15" hidden="0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 ht="15" hidden="0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 ht="15" hidden="0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 ht="15" hidden="0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 ht="15" hidden="0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 ht="15" hidden="0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 ht="15" hidden="0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 ht="15" hidden="0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 ht="15" hidden="0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 ht="15" hidden="0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 ht="15" hidden="0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 ht="15" hidden="0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  <x:row r="101" ht="15" hidden="0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</x:row>
    <x:row r="102" ht="15" hidden="0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</x:row>
    <x:row r="103" ht="15" hidden="0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</x:row>
    <x:row r="104" ht="15" hidden="0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</x:row>
    <x:row r="105" ht="15" hidden="0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</x:row>
    <x:row r="106" ht="15" hidden="0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</x:row>
    <x:row r="107" ht="15" hidden="0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</x:row>
    <x:row r="108" ht="15" hidden="0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</x:row>
    <x:row r="109" ht="15" hidden="0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</x:row>
    <x:row r="110" ht="15" hidden="0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</x:row>
    <x:row r="111" ht="15" hidden="0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</x:row>
    <x:row r="112" ht="15" hidden="0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</x:row>
    <x:row r="113" ht="15" hidden="0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</x:row>
    <x:row r="114" ht="15" hidden="0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</x:row>
    <x:row r="115" ht="15" hidden="0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</x:row>
    <x:row r="116" ht="15" hidden="0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</x:row>
    <x:row r="117" ht="15" hidden="0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</x:row>
    <x:row r="118" ht="15" hidden="0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</x:row>
    <x:row r="119" ht="15" hidden="0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</x:row>
    <x:row r="120" ht="15" hidden="0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</x:row>
    <x:row r="121" ht="15" hidden="0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</x:row>
    <x:row r="122" ht="15" hidden="0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</x:row>
    <x:row r="123" ht="15" hidden="0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</x:row>
    <x:row r="124" ht="15" hidden="0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</x:row>
    <x:row r="125" ht="15" hidden="0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</x:row>
    <x:row r="126" ht="15" hidden="0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</x:row>
    <x:row r="127" ht="15" hidden="0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</x:row>
    <x:row r="128" ht="15" hidden="0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</x:row>
    <x:row r="129" ht="15" hidden="0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</x:row>
    <x:row r="130" ht="15" hidden="0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</x:row>
    <x:row r="131" ht="15" hidden="0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</x:row>
    <x:row r="132" ht="15" hidden="0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</x:row>
    <x:row r="133" ht="15" hidden="0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</x:row>
    <x:row r="134" ht="15" hidden="0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</x:row>
    <x:row r="135" ht="15" hidden="0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</x:row>
    <x:row r="136" ht="15" hidden="0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</x:row>
    <x:row r="137" ht="15" hidden="0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</x:row>
    <x:row r="138" ht="15" hidden="0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</x:row>
    <x:row r="139" ht="15" hidden="0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</x:row>
    <x:row r="140" ht="15" hidden="0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</x:row>
    <x:row r="141" ht="15" hidden="0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</x:row>
    <x:row r="142" ht="15" hidden="0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</x:row>
    <x:row r="143" ht="15" hidden="0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</x:row>
    <x:row r="144" ht="15" hidden="0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</x:row>
    <x:row r="145" ht="15" hidden="0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</x:row>
    <x:row r="146" ht="15" hidden="0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</x:row>
    <x:row r="147" ht="15" hidden="0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</x:row>
    <x:row r="148" ht="15" hidden="0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</x:row>
    <x:row r="149" ht="15" hidden="0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</x:row>
    <x:row r="150" ht="15" hidden="0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</x:row>
    <x:row r="151" ht="15" hidden="0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</x:row>
    <x:row r="152" ht="15" hidden="0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</x:row>
    <x:row r="153" ht="15" hidden="0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</x:row>
    <x:row r="154" ht="15" hidden="0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</x:row>
    <x:row r="155" ht="15" hidden="0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</x:row>
    <x:row r="156" ht="15" hidden="0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</x:row>
    <x:row r="157" ht="15" hidden="0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</x:row>
    <x:row r="158" ht="15" hidden="0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</x:row>
    <x:row r="159" ht="15" hidden="0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</x:row>
    <x:row r="160" ht="15" hidden="0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</x:row>
    <x:row r="161" ht="15" hidden="0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</x:row>
    <x:row r="162" ht="15" hidden="0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</x:row>
    <x:row r="163" ht="15" hidden="0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</x:row>
    <x:row r="164" ht="15" hidden="0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</x:row>
    <x:row r="165" ht="15" hidden="0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</x:row>
    <x:row r="166" ht="15" hidden="0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</x:row>
    <x:row r="167" ht="15" hidden="0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</x:row>
    <x:row r="168" ht="15" hidden="0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</x:row>
    <x:row r="169" ht="15" hidden="0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</x:row>
    <x:row r="170" ht="15" hidden="0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</x:row>
    <x:row r="171" ht="15" hidden="0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</x:row>
    <x:row r="172" ht="15" hidden="0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</x:row>
    <x:row r="173" ht="15" hidden="0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</x:row>
    <x:row r="174" ht="15" hidden="0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</x:row>
    <x:row r="175" ht="15" hidden="0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</x:row>
    <x:row r="176" ht="15" hidden="0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</x:row>
    <x:row r="177" ht="15" hidden="0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</x:row>
    <x:row r="178" ht="15" hidden="0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</x:row>
    <x:row r="179" ht="15" hidden="0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</x:row>
    <x:row r="180" ht="15" hidden="0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</x:row>
    <x:row r="181" ht="15" hidden="0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</x:row>
    <x:row r="182" ht="15" hidden="0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</x:row>
    <x:row r="183" ht="15" hidden="0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</x:row>
    <x:row r="184" ht="15" hidden="0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</x:row>
    <x:row r="185" ht="15" hidden="0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</x:row>
    <x:row r="186" ht="15" hidden="0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</x:row>
    <x:row r="187" ht="15" hidden="0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</x:row>
    <x:row r="188" ht="15" hidden="0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</x:row>
    <x:row r="189" ht="15" hidden="0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</x:row>
    <x:row r="190" ht="15" hidden="0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</x:row>
    <x:row r="191" ht="15" hidden="0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</x:row>
    <x:row r="192" ht="15" hidden="0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</x:row>
    <x:row r="193" ht="15" hidden="0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</x:row>
    <x:row r="194" ht="15" hidden="0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</x:row>
    <x:row r="195" ht="15" hidden="0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</x:row>
    <x:row r="196" ht="15" hidden="0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</x:row>
    <x:row r="197" ht="15" hidden="0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</x:row>
    <x:row r="198" ht="15" hidden="0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</x:row>
    <x:row r="199" ht="15" hidden="0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</x:row>
    <x:row r="200" ht="15" hidden="0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</x:row>
    <x:row r="201" ht="15" hidden="0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</x:row>
    <x:row r="202" ht="15" hidden="0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</x:row>
    <x:row r="203" ht="15" hidden="0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</x:row>
    <x:row r="204" ht="15" hidden="0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</x:row>
    <x:row r="205" ht="15" hidden="0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</x:row>
    <x:row r="206" ht="15" hidden="0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</x:row>
    <x:row r="207" ht="15" hidden="0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</x:row>
    <x:row r="208" ht="15" hidden="0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</x:row>
    <x:row r="209" ht="15" hidden="0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</x:row>
    <x:row r="210" ht="15" hidden="0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</x:row>
    <x:row r="211" ht="15" hidden="0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</x:row>
    <x:row r="212" ht="15" hidden="0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</x:row>
    <x:row r="213" ht="15" hidden="0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</x:row>
    <x:row r="214" ht="15" hidden="0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</x:row>
    <x:row r="215" ht="15" hidden="0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</x:row>
    <x:row r="216" ht="15" hidden="0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</x:row>
    <x:row r="217" ht="15" hidden="0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</x:row>
    <x:row r="218" ht="15" hidden="0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</x:row>
    <x:row r="219" ht="15" hidden="0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</x:row>
    <x:row r="220" ht="15" hidden="0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</x:row>
    <x:row r="221" ht="15" hidden="0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</x:row>
    <x:row r="222" ht="15" hidden="0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</x:row>
    <x:row r="223" ht="15" hidden="0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</x:row>
    <x:row r="224" ht="15" hidden="0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</x:row>
    <x:row r="225" ht="15" hidden="0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</x:row>
    <x:row r="226" ht="15" hidden="0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</x:row>
    <x:row r="227" ht="15" hidden="0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</x:row>
    <x:row r="228" ht="15" hidden="0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</x:row>
    <x:row r="229" ht="15" hidden="0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</x:row>
    <x:row r="230" ht="15" hidden="0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</x:row>
    <x:row r="231" ht="15" hidden="0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</x:row>
    <x:row r="232" ht="15" hidden="0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</x:row>
    <x:row r="233" ht="15" hidden="0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</x:row>
    <x:row r="234" ht="15" hidden="0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</x:row>
    <x:row r="235" ht="15" hidden="0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</x:row>
    <x:row r="236" ht="15" hidden="0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</x:row>
    <x:row r="237" ht="15" hidden="0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</x:row>
    <x:row r="238" ht="15" hidden="0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</x:row>
    <x:row r="239" ht="15" hidden="0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</x:row>
    <x:row r="240" ht="15" hidden="0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</x:row>
  </x:sheetData>
  <x:pageMargins left="0.7" right="0.7" top="0.75" bottom="0.75" header="0.3" footer="0.3"/>
  <x:drawing xmlns:r="http://schemas.openxmlformats.org/officeDocument/2006/relationships" r:id="R84db92a4629d4155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3" hidden="0" customWidth="1"/>
    <x:col min="2" max="2" width="22.5" hidden="0" customWidth="1"/>
    <x:col min="3" max="3" width="21.75" hidden="0" customWidth="1"/>
  </x:cols>
  <x:sheetData>
    <x:row r="1" ht="15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19.200000762939453" hidden="0" customHeight="1">
      <x:c r="A2" s="2" t="str">
        <x:v>1/C^2-V fits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15" hidden="0" customHeight="1">
      <x:c r="A3" s="3" t="str">
        <x:v>Colored measured points and formula-linked linear fits extrapolated to the x-intercept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15" hidden="0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</x:row>
    <x:row r="5" ht="15" hidden="0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15" hidden="0" customHeight="1">
      <x:c r="A6" s="9" t="str">
        <x:v>1.csv V</x:v>
      </x:c>
      <x:c r="B6" s="9" t="str">
        <x:v>Measured 1/C^2 (1e22 F^-2)</x:v>
      </x:c>
      <x:c r="C6" s="9" t="str">
        <x:v>Linear fit 1/C^2 (1e22 F^-2)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15" hidden="0" customHeight="1">
      <x:c r="A7" s="1" t="n">
        <x:v>-3</x:v>
      </x:c>
      <x:c r="B7" s="1" t="n">
        <x:v>6.815041070704676</x:v>
      </x:c>
      <x:c r="C7" s="1" t="n">
        <x:f>('CV Parameters'!E6*A7+'CV Parameters'!G6)/1E22</x:f>
        <x:v>7.553270985866058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15" hidden="0" customHeight="1">
      <x:c r="A8" s="1" t="n">
        <x:v>-2.9</x:v>
      </x:c>
      <x:c r="B8" s="1" t="n">
        <x:v>7.4605727054726465</x:v>
      </x:c>
      <x:c r="C8" s="1" t="n">
        <x:f>('CV Parameters'!E6*A8+'CV Parameters'!G6)/1E22</x:f>
        <x:v>7.3499910474466725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15" hidden="0" customHeight="1">
      <x:c r="A9" s="1" t="n">
        <x:v>-2.8</x:v>
      </x:c>
      <x:c r="B9" s="1" t="n">
        <x:v>7.220826277407234</x:v>
      </x:c>
      <x:c r="C9" s="1" t="n">
        <x:f>('CV Parameters'!E6*A9+'CV Parameters'!G6)/1E22</x:f>
        <x:v>7.14671110902729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15" hidden="0" customHeight="1">
      <x:c r="A10" s="1" t="n">
        <x:v>-2.7</x:v>
      </x:c>
      <x:c r="B10" s="1" t="n">
        <x:v>7.046220220305376</x:v>
      </x:c>
      <x:c r="C10" s="1" t="n">
        <x:f>('CV Parameters'!E6*A10+'CV Parameters'!G6)/1E22</x:f>
        <x:v>6.943431170607907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15" hidden="0" customHeight="1">
      <x:c r="A11" s="1" t="n">
        <x:v>-2.6</x:v>
      </x:c>
      <x:c r="B11" s="1" t="n">
        <x:v>6.810124138901225</x:v>
      </x:c>
      <x:c r="C11" s="1" t="n">
        <x:f>('CV Parameters'!E6*A11+'CV Parameters'!G6)/1E22</x:f>
        <x:v>6.740151232188524</x:v>
      </x:c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15" hidden="0" customHeight="1">
      <x:c r="A12" s="1" t="n">
        <x:v>-2.5</x:v>
      </x:c>
      <x:c r="B12" s="1" t="n">
        <x:v>6.5457057413992805</x:v>
      </x:c>
      <x:c r="C12" s="1" t="n">
        <x:f>('CV Parameters'!E6*A12+'CV Parameters'!G6)/1E22</x:f>
        <x:v>6.536871293769141</x:v>
      </x:c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15" hidden="0" customHeight="1">
      <x:c r="A13" s="1" t="n">
        <x:v>-2.4</x:v>
      </x:c>
      <x:c r="B13" s="1" t="n">
        <x:v>6.3828169118678435</x:v>
      </x:c>
      <x:c r="C13" s="1" t="n">
        <x:f>('CV Parameters'!E6*A13+'CV Parameters'!G6)/1E22</x:f>
        <x:v>6.333591355349759</x:v>
      </x:c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15" hidden="0" customHeight="1">
      <x:c r="A14" s="1" t="n">
        <x:v>-2.3</x:v>
      </x:c>
      <x:c r="B14" s="1" t="n">
        <x:v>6.2170744150533555</x:v>
      </x:c>
      <x:c r="C14" s="1" t="n">
        <x:f>('CV Parameters'!E6*A14+'CV Parameters'!G6)/1E22</x:f>
        <x:v>6.130311416930374</x:v>
      </x:c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15" hidden="0" customHeight="1">
      <x:c r="A15" s="1" t="n">
        <x:v>-2.2</x:v>
      </x:c>
      <x:c r="B15" s="1" t="n">
        <x:v>5.958437621780152</x:v>
      </x:c>
      <x:c r="C15" s="1" t="n">
        <x:f>('CV Parameters'!E6*A15+'CV Parameters'!G6)/1E22</x:f>
        <x:v>5.927031478510992</x:v>
      </x:c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15" hidden="0" customHeight="1">
      <x:c r="A16" s="1" t="n">
        <x:v>-2.1</x:v>
      </x:c>
      <x:c r="B16" s="1" t="n">
        <x:v>5.7822550290615435</x:v>
      </x:c>
      <x:c r="C16" s="1" t="n">
        <x:f>('CV Parameters'!E6*A16+'CV Parameters'!G6)/1E22</x:f>
        <x:v>5.723751540091608</x:v>
      </x:c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15" hidden="0" customHeight="1">
      <x:c r="A17" s="1" t="n">
        <x:v>-2</x:v>
      </x:c>
      <x:c r="B17" s="1" t="n">
        <x:v>5.611126976868665</x:v>
      </x:c>
      <x:c r="C17" s="1" t="n">
        <x:f>('CV Parameters'!E6*A17+'CV Parameters'!G6)/1E22</x:f>
        <x:v>5.520471601672225</x:v>
      </x:c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15" hidden="0" customHeight="1">
      <x:c r="A18" s="1" t="n">
        <x:v>-1.9</x:v>
      </x:c>
      <x:c r="B18" s="1" t="n">
        <x:v>5.334326992322428</x:v>
      </x:c>
      <x:c r="C18" s="1" t="n">
        <x:f>('CV Parameters'!E6*A18+'CV Parameters'!G6)/1E22</x:f>
        <x:v>5.317191663252842</x:v>
      </x:c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15" hidden="0" customHeight="1">
      <x:c r="A19" s="1" t="n">
        <x:v>-1.8</x:v>
      </x:c>
      <x:c r="B19" s="1" t="n">
        <x:v>5.113873396865023</x:v>
      </x:c>
      <x:c r="C19" s="1" t="n">
        <x:f>('CV Parameters'!E6*A19+'CV Parameters'!G6)/1E22</x:f>
        <x:v>5.113911724833459</x:v>
      </x:c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15" hidden="0" customHeight="1">
      <x:c r="A20" s="1" t="n">
        <x:v>-1.7</x:v>
      </x:c>
      <x:c r="B20" s="1" t="n">
        <x:v>5.006989788894559</x:v>
      </x:c>
      <x:c r="C20" s="1" t="n">
        <x:f>('CV Parameters'!E6*A20+'CV Parameters'!G6)/1E22</x:f>
        <x:v>4.9106317864140765</x:v>
      </x:c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15" hidden="0" customHeight="1">
      <x:c r="A21" s="1" t="n">
        <x:v>-1.6</x:v>
      </x:c>
      <x:c r="B21" s="1" t="n">
        <x:v>4.796750956498041</x:v>
      </x:c>
      <x:c r="C21" s="1" t="n">
        <x:f>('CV Parameters'!E6*A21+'CV Parameters'!G6)/1E22</x:f>
        <x:v>4.707351847994693</x:v>
      </x:c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15" hidden="0" customHeight="1">
      <x:c r="A22" s="1" t="n">
        <x:v>-1.5</x:v>
      </x:c>
      <x:c r="B22" s="1" t="n">
        <x:v>4.484951267715297</x:v>
      </x:c>
      <x:c r="C22" s="1" t="n">
        <x:f>('CV Parameters'!E6*A22+'CV Parameters'!G6)/1E22</x:f>
        <x:v>4.504071909575311</x:v>
      </x:c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15" hidden="0" customHeight="1">
      <x:c r="A23" s="1" t="n">
        <x:v>-1.4</x:v>
      </x:c>
      <x:c r="B23" s="1" t="n">
        <x:v>4.339177907288939</x:v>
      </x:c>
      <x:c r="C23" s="1" t="n">
        <x:f>('CV Parameters'!E6*A23+'CV Parameters'!G6)/1E22</x:f>
        <x:v>4.300791971155927</x:v>
      </x:c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15" hidden="0" customHeight="1">
      <x:c r="A24" s="1" t="n">
        <x:v>-1.3</x:v>
      </x:c>
      <x:c r="B24" s="1" t="n">
        <x:v>4.138060835025713</x:v>
      </x:c>
      <x:c r="C24" s="1" t="n">
        <x:f>('CV Parameters'!E6*A24+'CV Parameters'!G6)/1E22</x:f>
        <x:v>4.097512032736543</x:v>
      </x:c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15" hidden="0" customHeight="1">
      <x:c r="A25" s="1" t="n">
        <x:v>-1.2</x:v>
      </x:c>
      <x:c r="B25" s="1" t="n">
        <x:v>3.9141490573647806</x:v>
      </x:c>
      <x:c r="C25" s="1" t="n">
        <x:f>('CV Parameters'!E6*A25+'CV Parameters'!G6)/1E22</x:f>
        <x:v>3.89423209431716</x:v>
      </x:c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15" hidden="0" customHeight="1">
      <x:c r="A26" s="1" t="n">
        <x:v>-1.1</x:v>
      </x:c>
      <x:c r="B26" s="1" t="n">
        <x:v>3.7249903684632444</x:v>
      </x:c>
      <x:c r="C26" s="1" t="n">
        <x:f>('CV Parameters'!E6*A26+'CV Parameters'!G6)/1E22</x:f>
        <x:v>3.6909521558977776</x:v>
      </x:c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15" hidden="0" customHeight="1">
      <x:c r="A27" s="1" t="n">
        <x:v>-1</x:v>
      </x:c>
      <x:c r="B27" s="1" t="n">
        <x:v>3.514111001871472</x:v>
      </x:c>
      <x:c r="C27" s="1" t="n">
        <x:f>('CV Parameters'!E6*A27+'CV Parameters'!G6)/1E22</x:f>
        <x:v>3.4876722174783943</x:v>
      </x:c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15" hidden="0" customHeight="1">
      <x:c r="A28" s="1" t="n">
        <x:v>-0.9</x:v>
      </x:c>
      <x:c r="B28" s="1" t="n">
        <x:v>3.3018548678738915</x:v>
      </x:c>
      <x:c r="C28" s="1" t="n">
        <x:f>('CV Parameters'!E6*A28+'CV Parameters'!G6)/1E22</x:f>
        <x:v>3.284392279059011</x:v>
      </x:c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15" hidden="0" customHeight="1">
      <x:c r="A29" s="1" t="n">
        <x:v>-0.8</x:v>
      </x:c>
      <x:c r="B29" s="1" t="n">
        <x:v>3.1594164445291075</x:v>
      </x:c>
      <x:c r="C29" s="1" t="n">
        <x:f>('CV Parameters'!E6*A29+'CV Parameters'!G6)/1E22</x:f>
        <x:v>3.0811123406396277</x:v>
      </x:c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15" hidden="0" customHeight="1">
      <x:c r="A30" s="1" t="n">
        <x:v>-0.7</x:v>
      </x:c>
      <x:c r="B30" s="1" t="n">
        <x:v>2.8719990323454945</x:v>
      </x:c>
      <x:c r="C30" s="1" t="n">
        <x:f>('CV Parameters'!E6*A30+'CV Parameters'!G6)/1E22</x:f>
        <x:v>2.8778324022202444</x:v>
      </x:c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15" hidden="0" customHeight="1">
      <x:c r="A31" s="1" t="n">
        <x:v>-0.6</x:v>
      </x:c>
      <x:c r="B31" s="1" t="n">
        <x:v>2.668968679292594</x:v>
      </x:c>
      <x:c r="C31" s="1" t="n">
        <x:f>('CV Parameters'!E6*A31+'CV Parameters'!G6)/1E22</x:f>
        <x:v>2.6745524638008615</x:v>
      </x:c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15" hidden="0" customHeight="1">
      <x:c r="A32" s="1" t="n">
        <x:v>-0.5</x:v>
      </x:c>
      <x:c r="B32" s="1" t="n">
        <x:v>2.4504701827320745</x:v>
      </x:c>
      <x:c r="C32" s="1" t="n">
        <x:f>('CV Parameters'!E6*A32+'CV Parameters'!G6)/1E22</x:f>
        <x:v>2.4712725253814787</x:v>
      </x:c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15" hidden="0" customHeight="1">
      <x:c r="A33" s="1" t="n">
        <x:v>-0.4</x:v>
      </x:c>
      <x:c r="B33" s="1" t="n">
        <x:v>2.2335620753319168</x:v>
      </x:c>
      <x:c r="C33" s="1" t="n">
        <x:f>('CV Parameters'!E6*A33+'CV Parameters'!G6)/1E22</x:f>
        <x:v>2.2679925869620954</x:v>
      </x:c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15" hidden="0" customHeight="1">
      <x:c r="A34" s="1" t="n">
        <x:v>-0.3</x:v>
      </x:c>
      <x:c r="B34" s="1" t="n">
        <x:v>2.021108960991668</x:v>
      </x:c>
      <x:c r="C34" s="1" t="n">
        <x:f>('CV Parameters'!E6*A34+'CV Parameters'!G6)/1E22</x:f>
        <x:v>2.064712648542712</x:v>
      </x:c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15" hidden="0" customHeight="1">
      <x:c r="A35" s="1" t="n">
        <x:v>-0.2</x:v>
      </x:c>
      <x:c r="B35" s="1" t="n">
        <x:v>1.7845344701272083</x:v>
      </x:c>
      <x:c r="C35" s="1" t="n">
        <x:f>('CV Parameters'!E6*A35+'CV Parameters'!G6)/1E22</x:f>
        <x:v>1.861432710123329</x:v>
      </x:c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15" hidden="0" customHeight="1">
      <x:c r="A36" s="1" t="n">
        <x:v>-0.1</x:v>
      </x:c>
      <x:c r="B36" s="1" t="n">
        <x:v>1.566106779138434</x:v>
      </x:c>
      <x:c r="C36" s="1" t="n">
        <x:f>('CV Parameters'!E6*A36+'CV Parameters'!G6)/1E22</x:f>
        <x:v>1.658152771703946</x:v>
      </x:c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15" hidden="0" customHeight="1">
      <x:c r="A37" s="1" t="n">
        <x:v>0</x:v>
      </x:c>
      <x:c r="B37" s="1" t="n">
        <x:v>1.350625023340775</x:v>
      </x:c>
      <x:c r="C37" s="1" t="n">
        <x:f>('CV Parameters'!E6*A37+'CV Parameters'!G6)/1E22</x:f>
        <x:v>1.4548728332845628</x:v>
      </x:c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15" hidden="0" customHeight="1">
      <x:c r="A38" s="9" t="str">
        <x:v>2.csv V</x:v>
      </x:c>
      <x:c r="B38" s="9" t="str">
        <x:v>Measured 1/C^2 (1e22 F^-2)</x:v>
      </x:c>
      <x:c r="C38" s="9" t="str">
        <x:v>Linear fit 1/C^2 (1e22 F^-2)</x:v>
      </x:c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15" hidden="0" customHeight="1">
      <x:c r="A39" s="1" t="n">
        <x:v>-3</x:v>
      </x:c>
      <x:c r="B39" s="1" t="n">
        <x:v>7.680602282014979</x:v>
      </x:c>
      <x:c r="C39" s="1" t="n">
        <x:f>('CV Parameters'!E7*A39+'CV Parameters'!G7)/1E22</x:f>
        <x:v>7.751726625490229</x:v>
      </x:c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15" hidden="0" customHeight="1">
      <x:c r="A40" s="1" t="n">
        <x:v>-2.9</x:v>
      </x:c>
      <x:c r="B40" s="1" t="n">
        <x:v>7.440499148726454</x:v>
      </x:c>
      <x:c r="C40" s="1" t="n">
        <x:f>('CV Parameters'!E7*A40+'CV Parameters'!G7)/1E22</x:f>
        <x:v>7.542217124603856</x:v>
      </x:c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15" hidden="0" customHeight="1">
      <x:c r="A41" s="1" t="n">
        <x:v>-2.8</x:v>
      </x:c>
      <x:c r="B41" s="1" t="n">
        <x:v>7.326340624888687</x:v>
      </x:c>
      <x:c r="C41" s="1" t="n">
        <x:f>('CV Parameters'!E7*A41+'CV Parameters'!G7)/1E22</x:f>
        <x:v>7.332707623717483</x:v>
      </x:c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15" hidden="0" customHeight="1">
      <x:c r="A42" s="1" t="n">
        <x:v>-2.7</x:v>
      </x:c>
      <x:c r="B42" s="1" t="n">
        <x:v>7.160891980721504</x:v>
      </x:c>
      <x:c r="C42" s="1" t="n">
        <x:f>('CV Parameters'!E7*A42+'CV Parameters'!G7)/1E22</x:f>
        <x:v>7.123198122831111</x:v>
      </x:c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15" hidden="0" customHeight="1">
      <x:c r="A43" s="1" t="n">
        <x:v>-2.6</x:v>
      </x:c>
      <x:c r="B43" s="1" t="n">
        <x:v>6.859508227479156</x:v>
      </x:c>
      <x:c r="C43" s="1" t="n">
        <x:f>('CV Parameters'!E7*A43+'CV Parameters'!G7)/1E22</x:f>
        <x:v>6.913688621944738</x:v>
      </x:c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15" hidden="0" customHeight="1">
      <x:c r="A44" s="1" t="n">
        <x:v>-2.5</x:v>
      </x:c>
      <x:c r="B44" s="1" t="n">
        <x:v>6.697455004378065</x:v>
      </x:c>
      <x:c r="C44" s="1" t="n">
        <x:f>('CV Parameters'!E7*A44+'CV Parameters'!G7)/1E22</x:f>
        <x:v>6.704179121058365</x:v>
      </x:c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15" hidden="0" customHeight="1">
      <x:c r="A45" s="1" t="n">
        <x:v>-2.4</x:v>
      </x:c>
      <x:c r="B45" s="1" t="n">
        <x:v>6.530797365533511</x:v>
      </x:c>
      <x:c r="C45" s="1" t="n">
        <x:f>('CV Parameters'!E7*A45+'CV Parameters'!G7)/1E22</x:f>
        <x:v>6.494669620171992</x:v>
      </x:c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15" hidden="0" customHeight="1">
      <x:c r="A46" s="1" t="n">
        <x:v>-2.3</x:v>
      </x:c>
      <x:c r="B46" s="1" t="n">
        <x:v>6.30892370632291</x:v>
      </x:c>
      <x:c r="C46" s="1" t="n">
        <x:f>('CV Parameters'!E7*A46+'CV Parameters'!G7)/1E22</x:f>
        <x:v>6.285160119285619</x:v>
      </x:c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15" hidden="0" customHeight="1">
      <x:c r="A47" s="1" t="n">
        <x:v>-2.2</x:v>
      </x:c>
      <x:c r="B47" s="1" t="n">
        <x:v>6.109178996657847</x:v>
      </x:c>
      <x:c r="C47" s="1" t="n">
        <x:f>('CV Parameters'!E7*A47+'CV Parameters'!G7)/1E22</x:f>
        <x:v>6.075650618399247</x:v>
      </x:c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15" hidden="0" customHeight="1">
      <x:c r="A48" s="1" t="n">
        <x:v>-2.1</x:v>
      </x:c>
      <x:c r="B48" s="1" t="n">
        <x:v>5.873789454621443</x:v>
      </x:c>
      <x:c r="C48" s="1" t="n">
        <x:f>('CV Parameters'!E7*A48+'CV Parameters'!G7)/1E22</x:f>
        <x:v>5.866141117512874</x:v>
      </x:c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15" hidden="0" customHeight="1">
      <x:c r="A49" s="1" t="n">
        <x:v>-2</x:v>
      </x:c>
      <x:c r="B49" s="1" t="n">
        <x:v>5.66271648971581</x:v>
      </x:c>
      <x:c r="C49" s="1" t="n">
        <x:f>('CV Parameters'!E7*A49+'CV Parameters'!G7)/1E22</x:f>
        <x:v>5.656631616626501</x:v>
      </x:c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15" hidden="0" customHeight="1">
      <x:c r="A50" s="1" t="n">
        <x:v>-1.9</x:v>
      </x:c>
      <x:c r="B50" s="1" t="n">
        <x:v>5.495957285421582</x:v>
      </x:c>
      <x:c r="C50" s="1" t="n">
        <x:f>('CV Parameters'!E7*A50+'CV Parameters'!G7)/1E22</x:f>
        <x:v>5.447122115740128</x:v>
      </x:c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15" hidden="0" customHeight="1">
      <x:c r="A51" s="1" t="n">
        <x:v>-1.8</x:v>
      </x:c>
      <x:c r="B51" s="1" t="n">
        <x:v>5.278009129269013</x:v>
      </x:c>
      <x:c r="C51" s="1" t="n">
        <x:f>('CV Parameters'!E7*A51+'CV Parameters'!G7)/1E22</x:f>
        <x:v>5.237612614853756</x:v>
      </x:c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15" hidden="0" customHeight="1">
      <x:c r="A52" s="1" t="n">
        <x:v>-1.7</x:v>
      </x:c>
      <x:c r="B52" s="1" t="n">
        <x:v>5.060181994138752</x:v>
      </x:c>
      <x:c r="C52" s="1" t="n">
        <x:f>('CV Parameters'!E7*A52+'CV Parameters'!G7)/1E22</x:f>
        <x:v>5.028103113967383</x:v>
      </x:c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15" hidden="0" customHeight="1">
      <x:c r="A53" s="1" t="n">
        <x:v>-1.6</x:v>
      </x:c>
      <x:c r="B53" s="1" t="n">
        <x:v>4.854172114237975</x:v>
      </x:c>
      <x:c r="C53" s="1" t="n">
        <x:f>('CV Parameters'!E7*A53+'CV Parameters'!G7)/1E22</x:f>
        <x:v>4.81859361308101</x:v>
      </x:c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15" hidden="0" customHeight="1">
      <x:c r="A54" s="1" t="n">
        <x:v>-1.5</x:v>
      </x:c>
      <x:c r="B54" s="1" t="n">
        <x:v>4.622966524142366</x:v>
      </x:c>
      <x:c r="C54" s="1" t="n">
        <x:f>('CV Parameters'!E7*A54+'CV Parameters'!G7)/1E22</x:f>
        <x:v>4.609084112194637</x:v>
      </x:c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15" hidden="0" customHeight="1">
      <x:c r="A55" s="1" t="n">
        <x:v>-1.4</x:v>
      </x:c>
      <x:c r="B55" s="1" t="n">
        <x:v>4.404601098169561</x:v>
      </x:c>
      <x:c r="C55" s="1" t="n">
        <x:f>('CV Parameters'!E7*A55+'CV Parameters'!G7)/1E22</x:f>
        <x:v>4.399574611308264</x:v>
      </x:c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15" hidden="0" customHeight="1">
      <x:c r="A56" s="1" t="n">
        <x:v>-1.3</x:v>
      </x:c>
      <x:c r="B56" s="1" t="n">
        <x:v>4.228904005867067</x:v>
      </x:c>
      <x:c r="C56" s="1" t="n">
        <x:f>('CV Parameters'!E7*A56+'CV Parameters'!G7)/1E22</x:f>
        <x:v>4.190065110421892</x:v>
      </x:c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15" hidden="0" customHeight="1">
      <x:c r="A57" s="1" t="n">
        <x:v>-1.2</x:v>
      </x:c>
      <x:c r="B57" s="1" t="n">
        <x:v>3.986531548067739</x:v>
      </x:c>
      <x:c r="C57" s="1" t="n">
        <x:f>('CV Parameters'!E7*A57+'CV Parameters'!G7)/1E22</x:f>
        <x:v>3.980555609535519</x:v>
      </x:c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15" hidden="0" customHeight="1">
      <x:c r="A58" s="1" t="n">
        <x:v>-1.1</x:v>
      </x:c>
      <x:c r="B58" s="1" t="n">
        <x:v>3.8018233023703605</x:v>
      </x:c>
      <x:c r="C58" s="1" t="n">
        <x:f>('CV Parameters'!E7*A58+'CV Parameters'!G7)/1E22</x:f>
        <x:v>3.771046108649146</x:v>
      </x:c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15" hidden="0" customHeight="1">
      <x:c r="A59" s="1" t="n">
        <x:v>-1</x:v>
      </x:c>
      <x:c r="B59" s="1" t="n">
        <x:v>3.568678743869343</x:v>
      </x:c>
      <x:c r="C59" s="1" t="n">
        <x:f>('CV Parameters'!E7*A59+'CV Parameters'!G7)/1E22</x:f>
        <x:v>3.561536607762773</x:v>
      </x:c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15" hidden="0" customHeight="1">
      <x:c r="A60" s="1" t="n">
        <x:v>-0.9</x:v>
      </x:c>
      <x:c r="B60" s="1" t="n">
        <x:v>3.3548597753560006</x:v>
      </x:c>
      <x:c r="C60" s="1" t="n">
        <x:f>('CV Parameters'!E7*A60+'CV Parameters'!G7)/1E22</x:f>
        <x:v>3.3520271068764003</x:v>
      </x:c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15" hidden="0" customHeight="1">
      <x:c r="A61" s="1" t="n">
        <x:v>-0.8</x:v>
      </x:c>
      <x:c r="B61" s="1" t="n">
        <x:v>3.1383885686897317</x:v>
      </x:c>
      <x:c r="C61" s="1" t="n">
        <x:f>('CV Parameters'!E7*A61+'CV Parameters'!G7)/1E22</x:f>
        <x:v>3.1425176059900277</x:v>
      </x:c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15" hidden="0" customHeight="1">
      <x:c r="A62" s="1" t="n">
        <x:v>-0.7</x:v>
      </x:c>
      <x:c r="B62" s="1" t="n">
        <x:v>2.903941887941858</x:v>
      </x:c>
      <x:c r="C62" s="1" t="n">
        <x:f>('CV Parameters'!E7*A62+'CV Parameters'!G7)/1E22</x:f>
        <x:v>2.9330081051036547</x:v>
      </x:c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15" hidden="0" customHeight="1">
      <x:c r="A63" s="1" t="n">
        <x:v>-0.6</x:v>
      </x:c>
      <x:c r="B63" s="1" t="n">
        <x:v>2.7128054235232186</x:v>
      </x:c>
      <x:c r="C63" s="1" t="n">
        <x:f>('CV Parameters'!E7*A63+'CV Parameters'!G7)/1E22</x:f>
        <x:v>2.7234986042172817</x:v>
      </x:c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15" hidden="0" customHeight="1">
      <x:c r="A64" s="1" t="n">
        <x:v>-0.5</x:v>
      </x:c>
      <x:c r="B64" s="1" t="n">
        <x:v>2.4939116000141737</x:v>
      </x:c>
      <x:c r="C64" s="1" t="n">
        <x:f>('CV Parameters'!E7*A64+'CV Parameters'!G7)/1E22</x:f>
        <x:v>2.5139891033309087</x:v>
      </x:c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15" hidden="0" customHeight="1">
      <x:c r="A65" s="1" t="n">
        <x:v>-0.4</x:v>
      </x:c>
      <x:c r="B65" s="1" t="n">
        <x:v>2.2706478480909555</x:v>
      </x:c>
      <x:c r="C65" s="1" t="n">
        <x:f>('CV Parameters'!E7*A65+'CV Parameters'!G7)/1E22</x:f>
        <x:v>2.3044796024445358</x:v>
      </x:c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15" hidden="0" customHeight="1">
      <x:c r="A66" s="1" t="n">
        <x:v>-0.2</x:v>
      </x:c>
      <x:c r="B66" s="1" t="n">
        <x:v>1.8171605475610924</x:v>
      </x:c>
      <x:c r="C66" s="1" t="n">
        <x:f>('CV Parameters'!E7*A66+'CV Parameters'!G7)/1E22</x:f>
        <x:v>1.8854606006717904</x:v>
      </x:c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15" hidden="0" customHeight="1">
      <x:c r="A67" s="1" t="n">
        <x:f>'CV Parameters'!J7</x:f>
        <x:v>0.6999403810781675</x:v>
      </x:c>
      <x:c r="B67" s="1"/>
      <x:c r="C67" s="1" t="n">
        <x:v>0</x:v>
      </x:c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15" hidden="0" customHeight="1">
      <x:c r="A70" s="9" t="str">
        <x:v>3.csv V</x:v>
      </x:c>
      <x:c r="B70" s="9" t="str">
        <x:v>Measured 1/C^2 (1e22 F^-2)</x:v>
      </x:c>
      <x:c r="C70" s="9" t="str">
        <x:v>Linear fit 1/C^2 (1e22 F^-2)</x:v>
      </x:c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 ht="15" hidden="0" customHeight="1">
      <x:c r="A71" s="1" t="n">
        <x:v>-3</x:v>
      </x:c>
      <x:c r="B71" s="1" t="n">
        <x:v>7.6847155263182705</x:v>
      </x:c>
      <x:c r="C71" s="1" t="n">
        <x:f>('CV Parameters'!E8*A71+'CV Parameters'!G8)/1E22</x:f>
        <x:v>7.762603406811838</x:v>
      </x:c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 ht="15" hidden="0" customHeight="1">
      <x:c r="A72" s="1" t="n">
        <x:v>-2.9</x:v>
      </x:c>
      <x:c r="B72" s="1" t="n">
        <x:v>7.5033594206871435</x:v>
      </x:c>
      <x:c r="C72" s="1" t="n">
        <x:f>('CV Parameters'!E8*A72+'CV Parameters'!G8)/1E22</x:f>
        <x:v>7.552875069333334</x:v>
      </x:c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 ht="15" hidden="0" customHeight="1">
      <x:c r="A73" s="1" t="n">
        <x:v>-2.8</x:v>
      </x:c>
      <x:c r="B73" s="1" t="n">
        <x:v>7.323072088732815</x:v>
      </x:c>
      <x:c r="C73" s="1" t="n">
        <x:f>('CV Parameters'!E8*A73+'CV Parameters'!G8)/1E22</x:f>
        <x:v>7.343146731854829</x:v>
      </x:c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 ht="15" hidden="0" customHeight="1">
      <x:c r="A74" s="1" t="n">
        <x:v>-2.7</x:v>
      </x:c>
      <x:c r="B74" s="1" t="n">
        <x:v>7.073715994038677</x:v>
      </x:c>
      <x:c r="C74" s="1" t="n">
        <x:f>('CV Parameters'!E8*A74+'CV Parameters'!G8)/1E22</x:f>
        <x:v>7.133418394376325</x:v>
      </x:c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 ht="15" hidden="0" customHeight="1">
      <x:c r="A75" s="1" t="n">
        <x:v>-2.6</x:v>
      </x:c>
      <x:c r="B75" s="1" t="n">
        <x:v>6.924840005899543</x:v>
      </x:c>
      <x:c r="C75" s="1" t="n">
        <x:f>('CV Parameters'!E8*A75+'CV Parameters'!G8)/1E22</x:f>
        <x:v>6.92369005689782</x:v>
      </x:c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 ht="15" hidden="0" customHeight="1">
      <x:c r="A76" s="1" t="n">
        <x:v>-2.5</x:v>
      </x:c>
      <x:c r="B76" s="1" t="n">
        <x:v>6.703659196682836</x:v>
      </x:c>
      <x:c r="C76" s="1" t="n">
        <x:f>('CV Parameters'!E8*A76+'CV Parameters'!G8)/1E22</x:f>
        <x:v>6.713961719419316</x:v>
      </x:c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 ht="15" hidden="0" customHeight="1">
      <x:c r="A77" s="1" t="n">
        <x:v>-2.4</x:v>
      </x:c>
      <x:c r="B77" s="1" t="n">
        <x:v>6.478533171101523</x:v>
      </x:c>
      <x:c r="C77" s="1" t="n">
        <x:f>('CV Parameters'!E8*A77+'CV Parameters'!G8)/1E22</x:f>
        <x:v>6.504233381940811</x:v>
      </x:c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 ht="15" hidden="0" customHeight="1">
      <x:c r="A78" s="1" t="n">
        <x:v>-2.3</x:v>
      </x:c>
      <x:c r="B78" s="1" t="n">
        <x:v>6.32305489188342</x:v>
      </x:c>
      <x:c r="C78" s="1" t="n">
        <x:f>('CV Parameters'!E8*A78+'CV Parameters'!G8)/1E22</x:f>
        <x:v>6.294505044462307</x:v>
      </x:c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 ht="15" hidden="0" customHeight="1">
      <x:c r="A79" s="1" t="n">
        <x:v>-2.2</x:v>
      </x:c>
      <x:c r="B79" s="1" t="n">
        <x:v>6.144265764994115</x:v>
      </x:c>
      <x:c r="C79" s="1" t="n">
        <x:f>('CV Parameters'!E8*A79+'CV Parameters'!G8)/1E22</x:f>
        <x:v>6.084776706983803</x:v>
      </x:c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 ht="15" hidden="0" customHeight="1">
      <x:c r="A80" s="1" t="n">
        <x:v>-2.1</x:v>
      </x:c>
      <x:c r="B80" s="1" t="n">
        <x:v>5.908592664347873</x:v>
      </x:c>
      <x:c r="C80" s="1" t="n">
        <x:f>('CV Parameters'!E8*A80+'CV Parameters'!G8)/1E22</x:f>
        <x:v>5.875048369505298</x:v>
      </x:c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 ht="15" hidden="0" customHeight="1">
      <x:c r="A81" s="1" t="n">
        <x:v>-2</x:v>
      </x:c>
      <x:c r="B81" s="1" t="n">
        <x:v>5.681629099414025</x:v>
      </x:c>
      <x:c r="C81" s="1" t="n">
        <x:f>('CV Parameters'!E8*A81+'CV Parameters'!G8)/1E22</x:f>
        <x:v>5.665320032026793</x:v>
      </x:c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 ht="15" hidden="0" customHeight="1">
      <x:c r="A82" s="1" t="n">
        <x:v>-1.9</x:v>
      </x:c>
      <x:c r="B82" s="1" t="n">
        <x:v>5.453136767796196</x:v>
      </x:c>
      <x:c r="C82" s="1" t="n">
        <x:f>('CV Parameters'!E8*A82+'CV Parameters'!G8)/1E22</x:f>
        <x:v>5.455591694548289</x:v>
      </x:c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 ht="15" hidden="0" customHeight="1">
      <x:c r="A83" s="1" t="n">
        <x:v>-1.8</x:v>
      </x:c>
      <x:c r="B83" s="1" t="n">
        <x:v>5.2891834137708775</x:v>
      </x:c>
      <x:c r="C83" s="1" t="n">
        <x:f>('CV Parameters'!E8*A83+'CV Parameters'!G8)/1E22</x:f>
        <x:v>5.245863357069784</x:v>
      </x:c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 ht="15" hidden="0" customHeight="1">
      <x:c r="A84" s="1" t="n">
        <x:v>-1.7</x:v>
      </x:c>
      <x:c r="B84" s="1" t="n">
        <x:v>5.077070471404772</x:v>
      </x:c>
      <x:c r="C84" s="1" t="n">
        <x:f>('CV Parameters'!E8*A84+'CV Parameters'!G8)/1E22</x:f>
        <x:v>5.03613501959128</x:v>
      </x:c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 ht="15" hidden="0" customHeight="1">
      <x:c r="A85" s="1" t="n">
        <x:v>-1.6</x:v>
      </x:c>
      <x:c r="B85" s="1" t="n">
        <x:v>4.856729823968609</x:v>
      </x:c>
      <x:c r="C85" s="1" t="n">
        <x:f>('CV Parameters'!E8*A85+'CV Parameters'!G8)/1E22</x:f>
        <x:v>4.826406682112776</x:v>
      </x:c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 ht="15" hidden="0" customHeight="1">
      <x:c r="A86" s="1" t="n">
        <x:v>-1.5</x:v>
      </x:c>
      <x:c r="B86" s="1" t="n">
        <x:v>4.6426974994064265</x:v>
      </x:c>
      <x:c r="C86" s="1" t="n">
        <x:f>('CV Parameters'!E8*A86+'CV Parameters'!G8)/1E22</x:f>
        <x:v>4.616678344634271</x:v>
      </x:c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 ht="15" hidden="0" customHeight="1">
      <x:c r="A87" s="1" t="n">
        <x:v>-1.4</x:v>
      </x:c>
      <x:c r="B87" s="1" t="n">
        <x:v>4.4358575550718555</x:v>
      </x:c>
      <x:c r="C87" s="1" t="n">
        <x:f>('CV Parameters'!E8*A87+'CV Parameters'!G8)/1E22</x:f>
        <x:v>4.406950007155766</x:v>
      </x:c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 ht="15" hidden="0" customHeight="1">
      <x:c r="A88" s="1" t="n">
        <x:v>-1.3</x:v>
      </x:c>
      <x:c r="B88" s="1" t="n">
        <x:v>4.207460462523304</x:v>
      </x:c>
      <x:c r="C88" s="1" t="n">
        <x:f>('CV Parameters'!E8*A88+'CV Parameters'!G8)/1E22</x:f>
        <x:v>4.197221669677261</x:v>
      </x:c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 ht="15" hidden="0" customHeight="1">
      <x:c r="A89" s="1" t="n">
        <x:v>-1.2</x:v>
      </x:c>
      <x:c r="B89" s="1" t="n">
        <x:v>3.9914205460328676</x:v>
      </x:c>
      <x:c r="C89" s="1" t="n">
        <x:f>('CV Parameters'!E8*A89+'CV Parameters'!G8)/1E22</x:f>
        <x:v>3.987493332198757</x:v>
      </x:c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 ht="15" hidden="0" customHeight="1">
      <x:c r="A90" s="1" t="n">
        <x:v>-1.1</x:v>
      </x:c>
      <x:c r="B90" s="1" t="n">
        <x:v>3.7973316615040145</x:v>
      </x:c>
      <x:c r="C90" s="1" t="n">
        <x:f>('CV Parameters'!E8*A90+'CV Parameters'!G8)/1E22</x:f>
        <x:v>3.7777649947202527</x:v>
      </x:c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 ht="15" hidden="0" customHeight="1">
      <x:c r="A91" s="1" t="n">
        <x:v>-1</x:v>
      </x:c>
      <x:c r="B91" s="1" t="n">
        <x:v>3.572617326269854</x:v>
      </x:c>
      <x:c r="C91" s="1" t="n">
        <x:f>('CV Parameters'!E8*A91+'CV Parameters'!G8)/1E22</x:f>
        <x:v>3.5680366572417483</x:v>
      </x:c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 ht="15" hidden="0" customHeight="1">
      <x:c r="A92" s="1" t="n">
        <x:v>-0.9</x:v>
      </x:c>
      <x:c r="B92" s="1" t="n">
        <x:v>3.360639339206943</x:v>
      </x:c>
      <x:c r="C92" s="1" t="n">
        <x:f>('CV Parameters'!E8*A92+'CV Parameters'!G8)/1E22</x:f>
        <x:v>3.358308319763244</x:v>
      </x:c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 ht="15" hidden="0" customHeight="1">
      <x:c r="A93" s="1" t="n">
        <x:v>-0.8</x:v>
      </x:c>
      <x:c r="B93" s="1" t="n">
        <x:v>3.155368775179854</x:v>
      </x:c>
      <x:c r="C93" s="1" t="n">
        <x:f>('CV Parameters'!E8*A93+'CV Parameters'!G8)/1E22</x:f>
        <x:v>3.148579982284739</x:v>
      </x:c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 ht="15" hidden="0" customHeight="1">
      <x:c r="A94" s="1" t="n">
        <x:v>-0.7</x:v>
      </x:c>
      <x:c r="B94" s="1" t="n">
        <x:v>2.9546061322848445</x:v>
      </x:c>
      <x:c r="C94" s="1" t="n">
        <x:f>('CV Parameters'!E8*A94+'CV Parameters'!G8)/1E22</x:f>
        <x:v>2.9388516448062343</x:v>
      </x:c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 ht="15" hidden="0" customHeight="1">
      <x:c r="A95" s="1" t="n">
        <x:v>-0.6</x:v>
      </x:c>
      <x:c r="B95" s="1" t="n">
        <x:v>2.7733398618032825</x:v>
      </x:c>
      <x:c r="C95" s="1" t="n">
        <x:f>('CV Parameters'!E8*A95+'CV Parameters'!G8)/1E22</x:f>
        <x:v>2.72912330732773</x:v>
      </x:c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 ht="15" hidden="0" customHeight="1">
      <x:c r="A96" s="1" t="n">
        <x:v>-0.5</x:v>
      </x:c>
      <x:c r="B96" s="1" t="n">
        <x:v>2.6456823954690982</x:v>
      </x:c>
      <x:c r="C96" s="1" t="n">
        <x:f>('CV Parameters'!E8*A96+'CV Parameters'!G8)/1E22</x:f>
        <x:v>2.5193949698492255</x:v>
      </x:c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 ht="15" hidden="0" customHeight="1">
      <x:c r="A97" s="1" t="n">
        <x:v>-0.4</x:v>
      </x:c>
      <x:c r="B97" s="1" t="n">
        <x:v>2.280262279274612</x:v>
      </x:c>
      <x:c r="C97" s="1" t="n">
        <x:f>('CV Parameters'!E8*A97+'CV Parameters'!G8)/1E22</x:f>
        <x:v>2.309666632370721</x:v>
      </x:c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 ht="15" hidden="0" customHeight="1">
      <x:c r="A98" s="1" t="n">
        <x:v>-0.3</x:v>
      </x:c>
      <x:c r="B98" s="1" t="n">
        <x:v>2.0581781604539913</x:v>
      </x:c>
      <x:c r="C98" s="1" t="n">
        <x:f>('CV Parameters'!E8*A98+'CV Parameters'!G8)/1E22</x:f>
        <x:v>2.0999382948922163</x:v>
      </x:c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 ht="15" hidden="0" customHeight="1">
      <x:c r="A99" s="1" t="n">
        <x:v>-0.2</x:v>
      </x:c>
      <x:c r="B99" s="1" t="n">
        <x:v>1.8337909443509124</x:v>
      </x:c>
      <x:c r="C99" s="1" t="n">
        <x:f>('CV Parameters'!E8*A99+'CV Parameters'!G8)/1E22</x:f>
        <x:v>1.8902099574137117</x:v>
      </x:c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 ht="15" hidden="0" customHeight="1">
      <x:c r="A100" s="1" t="n">
        <x:v>-0.1</x:v>
      </x:c>
      <x:c r="B100" s="1" t="n">
        <x:v>1.5985530133722061</x:v>
      </x:c>
      <x:c r="C100" s="1" t="n">
        <x:f>('CV Parameters'!E8*A100+'CV Parameters'!G8)/1E22</x:f>
        <x:v>1.6804816199352073</x:v>
      </x:c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  <x:row r="101" ht="15" hidden="0" customHeight="1">
      <x:c r="A101" s="1" t="n">
        <x:v>0</x:v>
      </x:c>
      <x:c r="B101" s="1" t="n">
        <x:v>1.3836644304177108</x:v>
      </x:c>
      <x:c r="C101" s="1" t="n">
        <x:f>('CV Parameters'!E8*A101+'CV Parameters'!G8)/1E22</x:f>
        <x:v>1.4707532824567027</x:v>
      </x:c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</x:row>
    <x:row r="102" ht="15" hidden="0" customHeight="1">
      <x:c r="A102" s="9" t="str">
        <x:v>4.csv V</x:v>
      </x:c>
      <x:c r="B102" s="9" t="str">
        <x:v>Measured 1/C^2 (1e22 F^-2)</x:v>
      </x:c>
      <x:c r="C102" s="9" t="str">
        <x:v>Linear fit 1/C^2 (1e22 F^-2)</x:v>
      </x:c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</x:row>
    <x:row r="103" ht="15" hidden="0" customHeight="1">
      <x:c r="A103" s="1" t="n">
        <x:v>-3</x:v>
      </x:c>
      <x:c r="B103" s="1" t="n">
        <x:v>6.882072728541771</x:v>
      </x:c>
      <x:c r="C103" s="1" t="n">
        <x:f>('CV Parameters'!E9*A103+'CV Parameters'!G9)/1E22</x:f>
        <x:v>7.540529868424296</x:v>
      </x:c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</x:row>
    <x:row r="104" ht="15" hidden="0" customHeight="1">
      <x:c r="A104" s="1" t="n">
        <x:v>-2.9</x:v>
      </x:c>
      <x:c r="B104" s="1" t="n">
        <x:v>7.387697747582173</x:v>
      </x:c>
      <x:c r="C104" s="1" t="n">
        <x:f>('CV Parameters'!E9*A104+'CV Parameters'!G9)/1E22</x:f>
        <x:v>7.339777229218861</x:v>
      </x:c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</x:row>
    <x:row r="105" ht="15" hidden="0" customHeight="1">
      <x:c r="A105" s="1" t="n">
        <x:v>-2.8</x:v>
      </x:c>
      <x:c r="B105" s="1" t="n">
        <x:v>7.223517908724622</x:v>
      </x:c>
      <x:c r="C105" s="1" t="n">
        <x:f>('CV Parameters'!E9*A105+'CV Parameters'!G9)/1E22</x:f>
        <x:v>7.139024590013428</x:v>
      </x:c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</x:row>
    <x:row r="106" ht="15" hidden="0" customHeight="1">
      <x:c r="A106" s="1" t="n">
        <x:v>-2.7</x:v>
      </x:c>
      <x:c r="B106" s="1" t="n">
        <x:v>7.004103411249637</x:v>
      </x:c>
      <x:c r="C106" s="1" t="n">
        <x:f>('CV Parameters'!E9*A106+'CV Parameters'!G9)/1E22</x:f>
        <x:v>6.938271950807997</x:v>
      </x:c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</x:row>
    <x:row r="107" ht="15" hidden="0" customHeight="1">
      <x:c r="A107" s="1" t="n">
        <x:v>-2.6</x:v>
      </x:c>
      <x:c r="B107" s="1" t="n">
        <x:v>6.871564579656842</x:v>
      </x:c>
      <x:c r="C107" s="1" t="n">
        <x:f>('CV Parameters'!E9*A107+'CV Parameters'!G9)/1E22</x:f>
        <x:v>6.737519311602564</x:v>
      </x:c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</x:row>
    <x:row r="108" ht="15" hidden="0" customHeight="1">
      <x:c r="A108" s="1" t="n">
        <x:v>-2.5</x:v>
      </x:c>
      <x:c r="B108" s="1" t="n">
        <x:v>6.572919631381536</x:v>
      </x:c>
      <x:c r="C108" s="1" t="n">
        <x:f>('CV Parameters'!E9*A108+'CV Parameters'!G9)/1E22</x:f>
        <x:v>6.536766672397129</x:v>
      </x:c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</x:row>
    <x:row r="109" ht="15" hidden="0" customHeight="1">
      <x:c r="A109" s="1" t="n">
        <x:v>-2.4</x:v>
      </x:c>
      <x:c r="B109" s="1" t="n">
        <x:v>6.386768897619479</x:v>
      </x:c>
      <x:c r="C109" s="1" t="n">
        <x:f>('CV Parameters'!E9*A109+'CV Parameters'!G9)/1E22</x:f>
        <x:v>6.336014033191696</x:v>
      </x:c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</x:row>
    <x:row r="110" ht="15" hidden="0" customHeight="1">
      <x:c r="A110" s="1" t="n">
        <x:v>-2.3</x:v>
      </x:c>
      <x:c r="B110" s="1" t="n">
        <x:v>6.173737587891052</x:v>
      </x:c>
      <x:c r="C110" s="1" t="n">
        <x:f>('CV Parameters'!E9*A110+'CV Parameters'!G9)/1E22</x:f>
        <x:v>6.135261393986263</x:v>
      </x:c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</x:row>
    <x:row r="111" ht="15" hidden="0" customHeight="1">
      <x:c r="A111" s="1" t="n">
        <x:v>-2.2</x:v>
      </x:c>
      <x:c r="B111" s="1" t="n">
        <x:v>5.962880829904735</x:v>
      </x:c>
      <x:c r="C111" s="1" t="n">
        <x:f>('CV Parameters'!E9*A111+'CV Parameters'!G9)/1E22</x:f>
        <x:v>5.934508754780832</x:v>
      </x:c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</x:row>
    <x:row r="112" ht="15" hidden="0" customHeight="1">
      <x:c r="A112" s="1" t="n">
        <x:v>-2.1</x:v>
      </x:c>
      <x:c r="B112" s="1" t="n">
        <x:v>5.824128889160738</x:v>
      </x:c>
      <x:c r="C112" s="1" t="n">
        <x:f>('CV Parameters'!E9*A112+'CV Parameters'!G9)/1E22</x:f>
        <x:v>5.733756115575397</x:v>
      </x:c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</x:row>
    <x:row r="113" ht="15" hidden="0" customHeight="1">
      <x:c r="A113" s="1" t="n">
        <x:v>-2</x:v>
      </x:c>
      <x:c r="B113" s="1" t="n">
        <x:v>5.616589795955819</x:v>
      </x:c>
      <x:c r="C113" s="1" t="n">
        <x:f>('CV Parameters'!E9*A113+'CV Parameters'!G9)/1E22</x:f>
        <x:v>5.533003476369963</x:v>
      </x:c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</x:row>
    <x:row r="114" ht="15" hidden="0" customHeight="1">
      <x:c r="A114" s="1" t="n">
        <x:v>-1.9</x:v>
      </x:c>
      <x:c r="B114" s="1" t="n">
        <x:v>5.384634468985107</x:v>
      </x:c>
      <x:c r="C114" s="1" t="n">
        <x:f>('CV Parameters'!E9*A114+'CV Parameters'!G9)/1E22</x:f>
        <x:v>5.33225083716453</x:v>
      </x:c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</x:row>
    <x:row r="115" ht="15" hidden="0" customHeight="1">
      <x:c r="A115" s="1" t="n">
        <x:v>-1.8</x:v>
      </x:c>
      <x:c r="B115" s="1" t="n">
        <x:v>5.17933690929526</x:v>
      </x:c>
      <x:c r="C115" s="1" t="n">
        <x:f>('CV Parameters'!E9*A115+'CV Parameters'!G9)/1E22</x:f>
        <x:v>5.131498197959097</x:v>
      </x:c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</x:row>
    <x:row r="116" ht="15" hidden="0" customHeight="1">
      <x:c r="A116" s="1" t="n">
        <x:v>-1.7</x:v>
      </x:c>
      <x:c r="B116" s="1" t="n">
        <x:v>5.015362337142819</x:v>
      </x:c>
      <x:c r="C116" s="1" t="n">
        <x:f>('CV Parameters'!E9*A116+'CV Parameters'!G9)/1E22</x:f>
        <x:v>4.930745558753664</x:v>
      </x:c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</x:row>
    <x:row r="117" ht="15" hidden="0" customHeight="1">
      <x:c r="A117" s="1" t="n">
        <x:v>-1.6</x:v>
      </x:c>
      <x:c r="B117" s="1" t="n">
        <x:v>4.800413412725491</x:v>
      </x:c>
      <x:c r="C117" s="1" t="n">
        <x:f>('CV Parameters'!E9*A117+'CV Parameters'!G9)/1E22</x:f>
        <x:v>4.729992919548231</x:v>
      </x:c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</x:row>
    <x:row r="118" ht="15" hidden="0" customHeight="1">
      <x:c r="A118" s="1" t="n">
        <x:v>-1.5</x:v>
      </x:c>
      <x:c r="B118" s="1" t="n">
        <x:v>4.545652363069845</x:v>
      </x:c>
      <x:c r="C118" s="1" t="n">
        <x:f>('CV Parameters'!E9*A118+'CV Parameters'!G9)/1E22</x:f>
        <x:v>4.529240280342798</x:v>
      </x:c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</x:row>
    <x:row r="119" ht="15" hidden="0" customHeight="1">
      <x:c r="A119" s="1" t="n">
        <x:v>-1.4</x:v>
      </x:c>
      <x:c r="B119" s="1" t="n">
        <x:v>4.383814033765129</x:v>
      </x:c>
      <x:c r="C119" s="1" t="n">
        <x:f>('CV Parameters'!E9*A119+'CV Parameters'!G9)/1E22</x:f>
        <x:v>4.3284876411373645</x:v>
      </x:c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</x:row>
    <x:row r="120" ht="15" hidden="0" customHeight="1">
      <x:c r="A120" s="1" t="n">
        <x:v>-1.3</x:v>
      </x:c>
      <x:c r="B120" s="1" t="n">
        <x:v>4.176561799151813</x:v>
      </x:c>
      <x:c r="C120" s="1" t="n">
        <x:f>('CV Parameters'!E9*A120+'CV Parameters'!G9)/1E22</x:f>
        <x:v>4.127735001931931</x:v>
      </x:c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</x:row>
    <x:row r="121" ht="15" hidden="0" customHeight="1">
      <x:c r="A121" s="1" t="n">
        <x:v>-1.2</x:v>
      </x:c>
      <x:c r="B121" s="1" t="n">
        <x:v>3.8593223882365333</x:v>
      </x:c>
      <x:c r="C121" s="1" t="n">
        <x:f>('CV Parameters'!E9*A121+'CV Parameters'!G9)/1E22</x:f>
        <x:v>3.9269823627264984</x:v>
      </x:c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</x:row>
    <x:row r="122" ht="15" hidden="0" customHeight="1">
      <x:c r="A122" s="1" t="n">
        <x:v>-1.1</x:v>
      </x:c>
      <x:c r="B122" s="1" t="n">
        <x:v>3.6373740884984516</x:v>
      </x:c>
      <x:c r="C122" s="1" t="n">
        <x:f>('CV Parameters'!E9*A122+'CV Parameters'!G9)/1E22</x:f>
        <x:v>3.7262297235210653</x:v>
      </x:c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</x:row>
    <x:row r="123" ht="15" hidden="0" customHeight="1">
      <x:c r="A123" s="1" t="n">
        <x:v>-1</x:v>
      </x:c>
      <x:c r="B123" s="1" t="n">
        <x:v>3.53122258359546</x:v>
      </x:c>
      <x:c r="C123" s="1" t="n">
        <x:f>('CV Parameters'!E9*A123+'CV Parameters'!G9)/1E22</x:f>
        <x:v>3.525477084315632</x:v>
      </x:c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</x:row>
    <x:row r="124" ht="15" hidden="0" customHeight="1">
      <x:c r="A124" s="1" t="n">
        <x:v>-0.9</x:v>
      </x:c>
      <x:c r="B124" s="1" t="n">
        <x:v>3.3247416962270404</x:v>
      </x:c>
      <x:c r="C124" s="1" t="n">
        <x:f>('CV Parameters'!E9*A124+'CV Parameters'!G9)/1E22</x:f>
        <x:v>3.3247244451101987</x:v>
      </x:c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</x:row>
    <x:row r="125" ht="15" hidden="0" customHeight="1">
      <x:c r="A125" s="1" t="n">
        <x:v>-0.8</x:v>
      </x:c>
      <x:c r="B125" s="1" t="n">
        <x:v>3.1129000284905963</x:v>
      </x:c>
      <x:c r="C125" s="1" t="n">
        <x:f>('CV Parameters'!E9*A125+'CV Parameters'!G9)/1E22</x:f>
        <x:v>3.1239718059047656</x:v>
      </x:c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</x:row>
    <x:row r="126" ht="15" hidden="0" customHeight="1">
      <x:c r="A126" s="1" t="n">
        <x:v>-0.7</x:v>
      </x:c>
      <x:c r="B126" s="1" t="n">
        <x:v>2.9568711970168016</x:v>
      </x:c>
      <x:c r="C126" s="1" t="n">
        <x:f>('CV Parameters'!E9*A126+'CV Parameters'!G9)/1E22</x:f>
        <x:v>2.9232191666993326</x:v>
      </x:c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</x:row>
    <x:row r="127" ht="15" hidden="0" customHeight="1">
      <x:c r="A127" s="1" t="n">
        <x:v>-0.6</x:v>
      </x:c>
      <x:c r="B127" s="1" t="n">
        <x:v>2.657628429950583</x:v>
      </x:c>
      <x:c r="C127" s="1" t="n">
        <x:f>('CV Parameters'!E9*A127+'CV Parameters'!G9)/1E22</x:f>
        <x:v>2.722466527493899</x:v>
      </x:c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</x:row>
    <x:row r="128" ht="15" hidden="0" customHeight="1">
      <x:c r="A128" s="1" t="n">
        <x:v>-0.5</x:v>
      </x:c>
      <x:c r="B128" s="1" t="n">
        <x:v>2.4551585359336405</x:v>
      </x:c>
      <x:c r="C128" s="1" t="n">
        <x:f>('CV Parameters'!E9*A128+'CV Parameters'!G9)/1E22</x:f>
        <x:v>2.521713888288466</x:v>
      </x:c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</x:row>
    <x:row r="129" ht="15" hidden="0" customHeight="1">
      <x:c r="A129" s="1" t="n">
        <x:v>-0.2</x:v>
      </x:c>
      <x:c r="B129" s="1" t="n">
        <x:v>1.801648528185112</x:v>
      </x:c>
      <x:c r="C129" s="1" t="n">
        <x:f>('CV Parameters'!E9*A129+'CV Parameters'!G9)/1E22</x:f>
        <x:v>1.9194559706721663</x:v>
      </x:c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</x:row>
    <x:row r="130" ht="15" hidden="0" customHeight="1">
      <x:c r="A130" s="1" t="n">
        <x:f>'CV Parameters'!J9</x:f>
        <x:v>0.7561298811658252</x:v>
      </x:c>
      <x:c r="B130" s="1"/>
      <x:c r="C130" s="1" t="n">
        <x:v>0</x:v>
      </x:c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</x:row>
    <x:row r="131" ht="15" hidden="0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</x:row>
    <x:row r="132" ht="15" hidden="0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</x:row>
    <x:row r="133" ht="15" hidden="0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</x:row>
    <x:row r="134" ht="15" hidden="0" customHeight="1">
      <x:c r="A134" s="9" t="str">
        <x:v>5.csv V</x:v>
      </x:c>
      <x:c r="B134" s="9" t="str">
        <x:v>Measured 1/C^2 (1e22 F^-2)</x:v>
      </x:c>
      <x:c r="C134" s="9" t="str">
        <x:v>Linear fit 1/C^2 (1e22 F^-2)</x:v>
      </x:c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</x:row>
    <x:row r="135" ht="15" hidden="0" customHeight="1">
      <x:c r="A135" s="1" t="n">
        <x:v>-3</x:v>
      </x:c>
      <x:c r="B135" s="1" t="n">
        <x:v>7.684964778012674</x:v>
      </x:c>
      <x:c r="C135" s="1" t="n">
        <x:f>('CV Parameters'!E10*A135+'CV Parameters'!G10)/1E22</x:f>
        <x:v>7.716025408902854</x:v>
      </x:c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</x:row>
    <x:row r="136" ht="15" hidden="0" customHeight="1">
      <x:c r="A136" s="1" t="n">
        <x:v>-2.9</x:v>
      </x:c>
      <x:c r="B136" s="1" t="n">
        <x:v>7.5126025933066</x:v>
      </x:c>
      <x:c r="C136" s="1" t="n">
        <x:f>('CV Parameters'!E10*A136+'CV Parameters'!G10)/1E22</x:f>
        <x:v>7.508764285892625</x:v>
      </x:c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</x:row>
    <x:row r="137" ht="15" hidden="0" customHeight="1">
      <x:c r="A137" s="1" t="n">
        <x:v>-2.8</x:v>
      </x:c>
      <x:c r="B137" s="1" t="n">
        <x:v>7.261167168196775</x:v>
      </x:c>
      <x:c r="C137" s="1" t="n">
        <x:f>('CV Parameters'!E10*A137+'CV Parameters'!G10)/1E22</x:f>
        <x:v>7.3015031628823985</x:v>
      </x:c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</x:row>
    <x:row r="138" ht="15" hidden="0" customHeight="1">
      <x:c r="A138" s="1" t="n">
        <x:v>-2.7</x:v>
      </x:c>
      <x:c r="B138" s="1" t="n">
        <x:v>7.07618724059507</x:v>
      </x:c>
      <x:c r="C138" s="1" t="n">
        <x:f>('CV Parameters'!E10*A138+'CV Parameters'!G10)/1E22</x:f>
        <x:v>7.094242039872173</x:v>
      </x:c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</x:row>
    <x:row r="139" ht="15" hidden="0" customHeight="1">
      <x:c r="A139" s="1" t="n">
        <x:v>-2.6</x:v>
      </x:c>
      <x:c r="B139" s="1" t="n">
        <x:v>6.884735777392373</x:v>
      </x:c>
      <x:c r="C139" s="1" t="n">
        <x:f>('CV Parameters'!E10*A139+'CV Parameters'!G10)/1E22</x:f>
        <x:v>6.886980916861944</x:v>
      </x:c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</x:row>
    <x:row r="140" ht="15" hidden="0" customHeight="1">
      <x:c r="A140" s="1" t="n">
        <x:v>-2.5</x:v>
      </x:c>
      <x:c r="B140" s="1" t="n">
        <x:v>6.671859999928375</x:v>
      </x:c>
      <x:c r="C140" s="1" t="n">
        <x:f>('CV Parameters'!E10*A140+'CV Parameters'!G10)/1E22</x:f>
        <x:v>6.679719793851715</x:v>
      </x:c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</x:row>
    <x:row r="141" ht="15" hidden="0" customHeight="1">
      <x:c r="A141" s="1" t="n">
        <x:v>-2.4</x:v>
      </x:c>
      <x:c r="B141" s="1" t="n">
        <x:v>6.4632008628978825</x:v>
      </x:c>
      <x:c r="C141" s="1" t="n">
        <x:f>('CV Parameters'!E10*A141+'CV Parameters'!G10)/1E22</x:f>
        <x:v>6.472458670841487</x:v>
      </x:c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</x:row>
    <x:row r="142" ht="15" hidden="0" customHeight="1">
      <x:c r="A142" s="1" t="n">
        <x:v>-2.3</x:v>
      </x:c>
      <x:c r="B142" s="1" t="n">
        <x:v>6.19976332720158</x:v>
      </x:c>
      <x:c r="C142" s="1" t="n">
        <x:f>('CV Parameters'!E10*A142+'CV Parameters'!G10)/1E22</x:f>
        <x:v>6.265197547831259</x:v>
      </x:c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</x:row>
    <x:row r="143" ht="15" hidden="0" customHeight="1">
      <x:c r="A143" s="1" t="n">
        <x:v>-2.2</x:v>
      </x:c>
      <x:c r="B143" s="1" t="n">
        <x:v>6.0376831793945875</x:v>
      </x:c>
      <x:c r="C143" s="1" t="n">
        <x:f>('CV Parameters'!E10*A143+'CV Parameters'!G10)/1E22</x:f>
        <x:v>6.057936424821032</x:v>
      </x:c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</x:row>
    <x:row r="144" ht="15" hidden="0" customHeight="1">
      <x:c r="A144" s="1" t="n">
        <x:v>-2.1</x:v>
      </x:c>
      <x:c r="B144" s="1" t="n">
        <x:v>5.8849364413594705</x:v>
      </x:c>
      <x:c r="C144" s="1" t="n">
        <x:f>('CV Parameters'!E10*A144+'CV Parameters'!G10)/1E22</x:f>
        <x:v>5.8506753018108055</x:v>
      </x:c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</x:row>
    <x:row r="145" ht="15" hidden="0" customHeight="1">
      <x:c r="A145" s="1" t="n">
        <x:v>-2</x:v>
      </x:c>
      <x:c r="B145" s="1" t="n">
        <x:v>5.635168329574352</x:v>
      </x:c>
      <x:c r="C145" s="1" t="n">
        <x:f>('CV Parameters'!E10*A145+'CV Parameters'!G10)/1E22</x:f>
        <x:v>5.643414178800577</x:v>
      </x:c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</x:row>
    <x:row r="146" ht="15" hidden="0" customHeight="1">
      <x:c r="A146" s="1" t="n">
        <x:v>-1.9</x:v>
      </x:c>
      <x:c r="B146" s="1" t="n">
        <x:v>5.4375645117459195</x:v>
      </x:c>
      <x:c r="C146" s="1" t="n">
        <x:f>('CV Parameters'!E10*A146+'CV Parameters'!G10)/1E22</x:f>
        <x:v>5.436153055790349</x:v>
      </x:c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</x:row>
    <x:row r="147" ht="15" hidden="0" customHeight="1">
      <x:c r="A147" s="1" t="n">
        <x:v>-1.8</x:v>
      </x:c>
      <x:c r="B147" s="1" t="n">
        <x:v>5.232586585726622</x:v>
      </x:c>
      <x:c r="C147" s="1" t="n">
        <x:f>('CV Parameters'!E10*A147+'CV Parameters'!G10)/1E22</x:f>
        <x:v>5.2288919327801215</x:v>
      </x:c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</x:row>
    <x:row r="148" ht="15" hidden="0" customHeight="1">
      <x:c r="A148" s="1" t="n">
        <x:v>-1.7</x:v>
      </x:c>
      <x:c r="B148" s="1" t="n">
        <x:v>5.159179448918121</x:v>
      </x:c>
      <x:c r="C148" s="1" t="n">
        <x:f>('CV Parameters'!E10*A148+'CV Parameters'!G10)/1E22</x:f>
        <x:v>5.021630809769894</x:v>
      </x:c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</x:row>
    <x:row r="149" ht="15" hidden="0" customHeight="1">
      <x:c r="A149" s="1" t="n">
        <x:v>-1.6</x:v>
      </x:c>
      <x:c r="B149" s="1" t="n">
        <x:v>4.852643760212748</x:v>
      </x:c>
      <x:c r="C149" s="1" t="n">
        <x:f>('CV Parameters'!E10*A149+'CV Parameters'!G10)/1E22</x:f>
        <x:v>4.814369686759665</x:v>
      </x:c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</x:row>
    <x:row r="150" ht="15" hidden="0" customHeight="1">
      <x:c r="A150" s="1" t="n">
        <x:v>-1.5</x:v>
      </x:c>
      <x:c r="B150" s="1" t="n">
        <x:v>4.5922460259017255</x:v>
      </x:c>
      <x:c r="C150" s="1" t="n">
        <x:f>('CV Parameters'!E10*A150+'CV Parameters'!G10)/1E22</x:f>
        <x:v>4.6071085637494384</x:v>
      </x:c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</x:row>
    <x:row r="151" ht="15" hidden="0" customHeight="1">
      <x:c r="A151" s="1" t="n">
        <x:v>-1.4</x:v>
      </x:c>
      <x:c r="B151" s="1" t="n">
        <x:v>4.412653291291234</x:v>
      </x:c>
      <x:c r="C151" s="1" t="n">
        <x:f>('CV Parameters'!E10*A151+'CV Parameters'!G10)/1E22</x:f>
        <x:v>4.399847440739211</x:v>
      </x:c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</x:row>
    <x:row r="152" ht="15" hidden="0" customHeight="1">
      <x:c r="A152" s="1" t="n">
        <x:v>-1.3</x:v>
      </x:c>
      <x:c r="B152" s="1" t="n">
        <x:v>4.212859815570845</x:v>
      </x:c>
      <x:c r="C152" s="1" t="n">
        <x:f>('CV Parameters'!E10*A152+'CV Parameters'!G10)/1E22</x:f>
        <x:v>4.192586317728982</x:v>
      </x:c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</x:row>
    <x:row r="153" ht="15" hidden="0" customHeight="1">
      <x:c r="A153" s="1" t="n">
        <x:v>-1.2</x:v>
      </x:c>
      <x:c r="B153" s="1" t="n">
        <x:v>4.033858727408063</x:v>
      </x:c>
      <x:c r="C153" s="1" t="n">
        <x:f>('CV Parameters'!E10*A153+'CV Parameters'!G10)/1E22</x:f>
        <x:v>3.985325194718755</x:v>
      </x:c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</x:row>
    <x:row r="154" ht="15" hidden="0" customHeight="1">
      <x:c r="A154" s="1" t="n">
        <x:v>-1.1</x:v>
      </x:c>
      <x:c r="B154" s="1" t="n">
        <x:v>3.8672450077575418</x:v>
      </x:c>
      <x:c r="C154" s="1" t="n">
        <x:f>('CV Parameters'!E10*A154+'CV Parameters'!G10)/1E22</x:f>
        <x:v>3.778064071708527</x:v>
      </x:c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</x:row>
    <x:row r="155" ht="15" hidden="0" customHeight="1">
      <x:c r="A155" s="1" t="n">
        <x:v>-1</x:v>
      </x:c>
      <x:c r="B155" s="1" t="n">
        <x:v>3.6479715078273203</x:v>
      </x:c>
      <x:c r="C155" s="1" t="n">
        <x:f>('CV Parameters'!E10*A155+'CV Parameters'!G10)/1E22</x:f>
        <x:v>3.5708029486982995</x:v>
      </x:c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</x:row>
    <x:row r="156" ht="15" hidden="0" customHeight="1">
      <x:c r="A156" s="1" t="n">
        <x:v>-0.9</x:v>
      </x:c>
      <x:c r="B156" s="1" t="n">
        <x:v>3.3616756920423674</x:v>
      </x:c>
      <x:c r="C156" s="1" t="n">
        <x:f>('CV Parameters'!E10*A156+'CV Parameters'!G10)/1E22</x:f>
        <x:v>3.3635418256880714</x:v>
      </x:c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</x:row>
    <x:row r="157" ht="15" hidden="0" customHeight="1">
      <x:c r="A157" s="1" t="n">
        <x:v>-0.8</x:v>
      </x:c>
      <x:c r="B157" s="1" t="n">
        <x:v>3.118939256946729</x:v>
      </x:c>
      <x:c r="C157" s="1" t="n">
        <x:f>('CV Parameters'!E10*A157+'CV Parameters'!G10)/1E22</x:f>
        <x:v>3.156280702677844</x:v>
      </x:c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</x:row>
    <x:row r="158" ht="15" hidden="0" customHeight="1">
      <x:c r="A158" s="1" t="n">
        <x:v>-0.7</x:v>
      </x:c>
      <x:c r="B158" s="1" t="n">
        <x:v>2.9178097174091557</x:v>
      </x:c>
      <x:c r="C158" s="1" t="n">
        <x:f>('CV Parameters'!E10*A158+'CV Parameters'!G10)/1E22</x:f>
        <x:v>2.949019579667616</x:v>
      </x:c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</x:row>
    <x:row r="159" ht="15" hidden="0" customHeight="1">
      <x:c r="A159" s="1" t="n">
        <x:v>-0.6</x:v>
      </x:c>
      <x:c r="B159" s="1" t="n">
        <x:v>2.70922025043377</x:v>
      </x:c>
      <x:c r="C159" s="1" t="n">
        <x:f>('CV Parameters'!E10*A159+'CV Parameters'!G10)/1E22</x:f>
        <x:v>2.7417584566573883</x:v>
      </x:c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</x:row>
    <x:row r="160" ht="15" hidden="0" customHeight="1">
      <x:c r="A160" s="1" t="n">
        <x:v>-0.5</x:v>
      </x:c>
      <x:c r="B160" s="1" t="n">
        <x:v>2.497595022175099</x:v>
      </x:c>
      <x:c r="C160" s="1" t="n">
        <x:f>('CV Parameters'!E10*A160+'CV Parameters'!G10)/1E22</x:f>
        <x:v>2.5344973336471606</x:v>
      </x:c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</x:row>
    <x:row r="161" ht="15" hidden="0" customHeight="1">
      <x:c r="A161" s="1" t="n">
        <x:v>-0.4</x:v>
      </x:c>
      <x:c r="B161" s="1" t="n">
        <x:v>2.280972595204118</x:v>
      </x:c>
      <x:c r="C161" s="1" t="n">
        <x:f>('CV Parameters'!E10*A161+'CV Parameters'!G10)/1E22</x:f>
        <x:v>2.3272362106369333</x:v>
      </x:c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</x:row>
    <x:row r="162" ht="15" hidden="0" customHeight="1">
      <x:c r="A162" s="1" t="n">
        <x:v>-0.3</x:v>
      </x:c>
      <x:c r="B162" s="1" t="n">
        <x:v>2.056716036982713</x:v>
      </x:c>
      <x:c r="C162" s="1" t="n">
        <x:f>('CV Parameters'!E10*A162+'CV Parameters'!G10)/1E22</x:f>
        <x:v>2.119975087626705</x:v>
      </x:c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</x:row>
    <x:row r="163" ht="15" hidden="0" customHeight="1">
      <x:c r="A163" s="1" t="n">
        <x:f>'CV Parameters'!J10</x:f>
        <x:v>0.7228522632882243</x:v>
      </x:c>
      <x:c r="B163" s="1"/>
      <x:c r="C163" s="1" t="n">
        <x:v>0</x:v>
      </x:c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</x:row>
    <x:row r="164" ht="15" hidden="0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</x:row>
    <x:row r="165" ht="15" hidden="0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</x:row>
    <x:row r="166" ht="15" hidden="0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</x:row>
    <x:row r="167" ht="15" hidden="0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</x:row>
    <x:row r="168" ht="15" hidden="0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</x:row>
    <x:row r="169" ht="15" hidden="0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</x:row>
    <x:row r="170" ht="15" hidden="0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</x:row>
    <x:row r="171" ht="15" hidden="0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</x:row>
    <x:row r="172" ht="15" hidden="0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</x:row>
    <x:row r="173" ht="15" hidden="0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</x:row>
    <x:row r="174" ht="15" hidden="0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</x:row>
    <x:row r="175" ht="15" hidden="0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</x:row>
    <x:row r="176" ht="15" hidden="0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</x:row>
    <x:row r="177" ht="15" hidden="0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</x:row>
    <x:row r="178" ht="15" hidden="0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</x:row>
    <x:row r="179" ht="15" hidden="0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</x:row>
    <x:row r="180" ht="15" hidden="0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</x:row>
    <x:row r="181" ht="15" hidden="0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</x:row>
    <x:row r="182" ht="15" hidden="0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</x:row>
    <x:row r="183" ht="15" hidden="0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</x:row>
    <x:row r="184" ht="15" hidden="0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</x:row>
    <x:row r="185" ht="15" hidden="0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</x:row>
    <x:row r="186" ht="15" hidden="0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</x:row>
    <x:row r="187" ht="15" hidden="0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</x:row>
    <x:row r="188" ht="15" hidden="0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</x:row>
    <x:row r="189" ht="15" hidden="0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</x:row>
    <x:row r="190" ht="15" hidden="0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</x:row>
    <x:row r="191" ht="15" hidden="0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</x:row>
    <x:row r="192" ht="15" hidden="0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</x:row>
    <x:row r="193" ht="15" hidden="0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</x:row>
    <x:row r="194" ht="15" hidden="0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</x:row>
    <x:row r="195" ht="15" hidden="0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</x:row>
    <x:row r="196" ht="15" hidden="0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</x:row>
    <x:row r="197" ht="15" hidden="0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</x:row>
    <x:row r="198" ht="15" hidden="0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</x:row>
    <x:row r="199" ht="15" hidden="0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</x:row>
    <x:row r="200" ht="15" hidden="0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</x:row>
    <x:row r="201" ht="15" hidden="0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</x:row>
    <x:row r="202" ht="15" hidden="0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</x:row>
    <x:row r="203" ht="15" hidden="0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</x:row>
    <x:row r="204" ht="15" hidden="0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</x:row>
    <x:row r="205" ht="15" hidden="0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</x:row>
    <x:row r="206" ht="15" hidden="0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</x:row>
    <x:row r="207" ht="15" hidden="0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</x:row>
    <x:row r="208" ht="15" hidden="0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</x:row>
    <x:row r="209" ht="15" hidden="0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</x:row>
    <x:row r="210" ht="15" hidden="0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</x:row>
    <x:row r="211" ht="15" hidden="0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</x:row>
    <x:row r="212" ht="15" hidden="0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</x:row>
    <x:row r="213" ht="15" hidden="0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</x:row>
    <x:row r="214" ht="15" hidden="0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</x:row>
    <x:row r="215" ht="15" hidden="0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</x:row>
    <x:row r="216" ht="15" hidden="0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</x:row>
    <x:row r="217" ht="15" hidden="0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</x:row>
    <x:row r="218" ht="15" hidden="0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</x:row>
    <x:row r="219" ht="15" hidden="0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</x:row>
    <x:row r="220" ht="15" hidden="0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</x:row>
    <x:row r="221" ht="15" hidden="0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</x:row>
    <x:row r="222" ht="15" hidden="0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</x:row>
    <x:row r="223" ht="15" hidden="0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</x:row>
    <x:row r="224" ht="15" hidden="0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</x:row>
    <x:row r="225" ht="15" hidden="0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</x:row>
    <x:row r="226" ht="15" hidden="0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</x:row>
    <x:row r="227" ht="15" hidden="0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</x:row>
    <x:row r="228" ht="15" hidden="0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</x:row>
    <x:row r="229" ht="15" hidden="0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</x:row>
    <x:row r="230" ht="15" hidden="0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</x:row>
    <x:row r="231" ht="15" hidden="0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</x:row>
    <x:row r="232" ht="15" hidden="0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</x:row>
    <x:row r="233" ht="15" hidden="0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</x:row>
    <x:row r="234" ht="15" hidden="0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</x:row>
    <x:row r="235" ht="15" hidden="0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</x:row>
    <x:row r="236" ht="15" hidden="0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</x:row>
    <x:row r="237" ht="15" hidden="0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</x:row>
    <x:row r="238" ht="15" hidden="0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</x:row>
    <x:row r="239" ht="15" hidden="0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</x:row>
    <x:row r="240" ht="15" hidden="0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</x:row>
  </x:sheetData>
  <x:pageMargins left="0.7" right="0.7" top="0.75" bottom="0.75" header="0.3" footer="0.3"/>
  <x:drawing xmlns:r="http://schemas.openxmlformats.org/officeDocument/2006/relationships" r:id="R4f40ae0988d34f9c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8" max="18" width="4.880000114440918" hidden="0" customWidth="1"/>
    <x:col min="19" max="19" width="10.25" hidden="0" customWidth="1"/>
    <x:col min="20" max="20" width="10.25" hidden="0" customWidth="1"/>
    <x:col min="21" max="21" width="13.630000114440918" hidden="0" customWidth="1"/>
  </x:cols>
  <x:sheetData>
    <x:row r="1" ht="15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19.200000762939453" hidden="0" customHeight="1">
      <x:c r="A2" s="2" t="str">
        <x:v>C-V extracted parameters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15" hidden="0" customHeight="1">
      <x:c r="A3" s="3" t="str">
        <x:v>Vbi, ND, phi_n and phi_B are formula-driven from the fitted slope/intercept and Summary constants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15" hidden="0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</x:row>
    <x:row r="5" ht="15" hidden="0" customHeight="1">
      <x:c r="A5" s="9" t="str">
        <x:v>File</x:v>
      </x:c>
      <x:c r="B5" s="9" t="str">
        <x:v>Fit N</x:v>
      </x:c>
      <x:c r="C5" s="9" t="str">
        <x:v>Fit Vmin</x:v>
      </x:c>
      <x:c r="D5" s="9" t="str">
        <x:v>Fit Vmax</x:v>
      </x:c>
      <x:c r="E5" s="9" t="str">
        <x:v>Slope</x:v>
      </x:c>
      <x:c r="F5" s="9" t="str">
        <x:v>Slope SE</x:v>
      </x:c>
      <x:c r="G5" s="9" t="str">
        <x:v>Intercept</x:v>
      </x:c>
      <x:c r="H5" s="9" t="str">
        <x:v>Intercept SE</x:v>
      </x:c>
      <x:c r="I5" s="9" t="str">
        <x:v>R2</x:v>
      </x:c>
      <x:c r="J5" s="9" t="str">
        <x:v>Vbi (V)</x:v>
      </x:c>
      <x:c r="K5" s="9" t="str">
        <x:v>Vbi SE</x:v>
      </x:c>
      <x:c r="L5" s="9" t="str">
        <x:v>ND (cm^-3)</x:v>
      </x:c>
      <x:c r="M5" s="9" t="str">
        <x:v>ND SE</x:v>
      </x:c>
      <x:c r="N5" s="9" t="str">
        <x:v>phi_n (eV)</x:v>
      </x:c>
      <x:c r="O5" s="9" t="str">
        <x:v>phi_B (eV)</x:v>
      </x:c>
      <x:c r="P5" s="9" t="str">
        <x:v>phi_B SE</x:v>
      </x:c>
      <x:c r="Q5" s="1"/>
      <x:c r="R5" s="9" t="str">
        <x:v>Index</x:v>
      </x:c>
      <x:c r="S5" s="9" t="str">
        <x:v>Vbi</x:v>
      </x:c>
      <x:c r="T5" s="9" t="str">
        <x:v>phi_B</x:v>
      </x:c>
      <x:c r="U5" s="9" t="str">
        <x:v>ND (1e15 cm^-3)</x:v>
      </x:c>
    </x:row>
    <x:row r="6" ht="15" hidden="0" customHeight="1">
      <x:c r="A6" s="1" t="str">
        <x:v>1.csv</x:v>
      </x:c>
      <x:c r="B6" s="1" t="n">
        <x:v>31</x:v>
      </x:c>
      <x:c r="C6" s="1" t="n">
        <x:v>-3</x:v>
      </x:c>
      <x:c r="D6" s="1" t="n">
        <x:v>0</x:v>
      </x:c>
      <x:c r="E6" s="1" t="n">
        <x:v>-2.0327993841938313e+22</x:v>
      </x:c>
      <x:c r="F6" s="1" t="n">
        <x:v>302796987178463660000</x:v>
      </x:c>
      <x:c r="G6" s="1" t="n">
        <x:v>1.4548728332845629e+22</x:v>
      </x:c>
      <x:c r="H6" s="1" t="n">
        <x:v>528812204005620250000</x:v>
      </x:c>
      <x:c r="I6" s="1" t="n">
        <x:v>0.9936066782972723</x:v>
      </x:c>
      <x:c r="J6" s="1" t="n">
        <x:f>-G6/E6</x:f>
        <x:v>0.7156991706102553</x:v>
      </x:c>
      <x:c r="K6" s="1" t="n">
        <x:v>0.035591748905705045</x:v>
      </x:c>
      <x:c r="L6" s="1" t="n">
        <x:f>-2/(Summary!$B$19*Summary!$B$20*Summary!$B$21^2*E6)</x:f>
        <x:v>1186385166999287</x:v>
      </x:c>
      <x:c r="M6" s="1" t="n">
        <x:v>17671879330240.332</x:v>
      </x:c>
      <x:c r="N6" s="1" t="n">
        <x:f>Summary!$B$24*LN(Summary!$B$23/L6)</x:f>
        <x:v>0.2603050469037974</x:v>
      </x:c>
      <x:c r="O6" s="1" t="n">
        <x:f>J6+N6</x:f>
        <x:v>0.9760042175140528</x:v>
      </x:c>
      <x:c r="P6" s="1" t="n">
        <x:v>0.035593832006631895</x:v>
      </x:c>
      <x:c r="Q6" s="1"/>
      <x:c r="R6" s="1" t="n">
        <x:v>1</x:v>
      </x:c>
      <x:c r="S6" s="1" t="n">
        <x:f>J6</x:f>
        <x:v>0.7156991706102553</x:v>
      </x:c>
      <x:c r="T6" s="1" t="n">
        <x:f>O6</x:f>
        <x:v>0.9760042175140528</x:v>
      </x:c>
      <x:c r="U6" s="1" t="n">
        <x:f>L6/1E15</x:f>
        <x:v>1.186385166999287</x:v>
      </x:c>
    </x:row>
    <x:row r="7" ht="15" hidden="0" customHeight="1">
      <x:c r="A7" s="1" t="str">
        <x:v>2.csv</x:v>
      </x:c>
      <x:c r="B7" s="1" t="n">
        <x:v>28</x:v>
      </x:c>
      <x:c r="C7" s="1" t="n">
        <x:v>-3</x:v>
      </x:c>
      <x:c r="D7" s="1" t="n">
        <x:v>-0.2</x:v>
      </x:c>
      <x:c r="E7" s="1" t="n">
        <x:v>-2.0950950088637283e+22</x:v>
      </x:c>
      <x:c r="F7" s="1" t="n">
        <x:v>90161417875118750000</x:v>
      </x:c>
      <x:c r="G7" s="1" t="n">
        <x:v>1.4664415988990446e+22</x:v>
      </x:c>
      <x:c r="H7" s="1" t="n">
        <x:v>165593276073231250000</x:v>
      </x:c>
      <x:c r="I7" s="1" t="n">
        <x:v>0.9995187194606394</x:v>
      </x:c>
      <x:c r="J7" s="1" t="n">
        <x:f>-G7/E7</x:f>
        <x:v>0.6999403810781675</x:v>
      </x:c>
      <x:c r="K7" s="1" t="n">
        <x:v>0.010687764784632955</x:v>
      </x:c>
      <x:c r="L7" s="1" t="n">
        <x:f>-2/(Summary!$B$19*Summary!$B$20*Summary!$B$21^2*E7)</x:f>
        <x:v>1151109150988250</x:v>
      </x:c>
      <x:c r="M7" s="1" t="n">
        <x:v>4953743517264.771</x:v>
      </x:c>
      <x:c r="N7" s="1" t="n">
        <x:f>Summary!$B$24*LN(Summary!$B$23/L7)</x:f>
        <x:v>0.2610853908758588</x:v>
      </x:c>
      <x:c r="O7" s="1" t="n">
        <x:f>J7+N7</x:f>
        <x:v>0.9610257719540263</x:v>
      </x:c>
      <x:c r="P7" s="1" t="n">
        <x:v>0.010688343804761507</x:v>
      </x:c>
      <x:c r="Q7" s="1"/>
      <x:c r="R7" s="1" t="n">
        <x:v>2</x:v>
      </x:c>
      <x:c r="S7" s="1" t="n">
        <x:f>J7</x:f>
        <x:v>0.6999403810781675</x:v>
      </x:c>
      <x:c r="T7" s="1" t="n">
        <x:f>O7</x:f>
        <x:v>0.9610257719540263</x:v>
      </x:c>
      <x:c r="U7" s="1" t="n">
        <x:f>L7/1E15</x:f>
        <x:v>1.15110915098825</x:v>
      </x:c>
    </x:row>
    <x:row r="8" ht="15" hidden="0" customHeight="1">
      <x:c r="A8" s="1" t="str">
        <x:v>3.csv</x:v>
      </x:c>
      <x:c r="B8" s="1" t="n">
        <x:v>31</x:v>
      </x:c>
      <x:c r="C8" s="1" t="n">
        <x:v>-3</x:v>
      </x:c>
      <x:c r="D8" s="1" t="n">
        <x:v>0</x:v>
      </x:c>
      <x:c r="E8" s="1" t="n">
        <x:v>-2.0972833747850454e+22</x:v>
      </x:c>
      <x:c r="F8" s="1" t="n">
        <x:v>94189677387215700000</x:v>
      </x:c>
      <x:c r="G8" s="1" t="n">
        <x:v>1.4707532824567026e+22</x:v>
      </x:c>
      <x:c r="H8" s="1" t="n">
        <x:v>164495199763514980000</x:v>
      </x:c>
      <x:c r="I8" s="1" t="n">
        <x:v>0.9994154301146085</x:v>
      </x:c>
      <x:c r="J8" s="1" t="n">
        <x:f>-G8/E8</x:f>
        <x:v>0.7012658852585636</x:v>
      </x:c>
      <x:c r="K8" s="1" t="n">
        <x:v>0.010670877912773642</x:v>
      </x:c>
      <x:c r="L8" s="1" t="n">
        <x:f>-2/(Summary!$B$19*Summary!$B$20*Summary!$B$21^2*E8)</x:f>
        <x:v>1149908050522750.2</x:v>
      </x:c>
      <x:c r="M8" s="1" t="n">
        <x:v>5164274394479.515</x:v>
      </x:c>
      <x:c r="N8" s="1" t="n">
        <x:f>Summary!$B$24*LN(Summary!$B$23/L8)</x:f>
        <x:v>0.2611123796804421</x:v>
      </x:c>
      <x:c r="O8" s="1" t="n">
        <x:f>J8+N8</x:f>
        <x:v>0.9623782649390057</x:v>
      </x:c>
      <x:c r="P8" s="1" t="n">
        <x:v>0.010671509506312363</x:v>
      </x:c>
      <x:c r="Q8" s="1"/>
      <x:c r="R8" s="1" t="n">
        <x:v>3</x:v>
      </x:c>
      <x:c r="S8" s="1" t="n">
        <x:f>J8</x:f>
        <x:v>0.7012658852585636</x:v>
      </x:c>
      <x:c r="T8" s="1" t="n">
        <x:f>O8</x:f>
        <x:v>0.9623782649390057</x:v>
      </x:c>
      <x:c r="U8" s="1" t="n">
        <x:f>L8/1E15</x:f>
        <x:v>1.1499080505227504</x:v>
      </x:c>
    </x:row>
    <x:row r="9" ht="15" hidden="0" customHeight="1">
      <x:c r="A9" s="1" t="str">
        <x:v>4.csv</x:v>
      </x:c>
      <x:c r="B9" s="1" t="n">
        <x:v>27</x:v>
      </x:c>
      <x:c r="C9" s="1" t="n">
        <x:v>-3</x:v>
      </x:c>
      <x:c r="D9" s="1" t="n">
        <x:v>-0.2</x:v>
      </x:c>
      <x:c r="E9" s="1" t="n">
        <x:v>-2.007526392054332e+22</x:v>
      </x:c>
      <x:c r="F9" s="1" t="n">
        <x:v>359000593345538360000</x:v>
      </x:c>
      <x:c r="G9" s="1" t="n">
        <x:v>1.5179506922613e+22</x:v>
      </x:c>
      <x:c r="H9" s="1" t="n">
        <x:v>670881941914733800000</x:v>
      </x:c>
      <x:c r="I9" s="1" t="n">
        <x:v>0.9920686060605811</x:v>
      </x:c>
      <x:c r="J9" s="1" t="n">
        <x:f>-G9/E9</x:f>
        <x:v>0.7561298811658252</x:v>
      </x:c>
      <x:c r="K9" s="1" t="n">
        <x:v>0.04602361886190458</x:v>
      </x:c>
      <x:c r="L9" s="1" t="n">
        <x:f>-2/(Summary!$B$19*Summary!$B$20*Summary!$B$21^2*E9)</x:f>
        <x:v>1201320713111489.8</x:v>
      </x:c>
      <x:c r="M9" s="1" t="n">
        <x:v>21482898083545.49</x:v>
      </x:c>
      <x:c r="N9" s="1" t="n">
        <x:f>Summary!$B$24*LN(Summary!$B$23/L9)</x:f>
        <x:v>0.2599816245140454</x:v>
      </x:c>
      <x:c r="O9" s="1" t="n">
        <x:f>J9+N9</x:f>
        <x:v>1.0161115056798706</x:v>
      </x:c>
      <x:c r="P9" s="1" t="n">
        <x:v>0.046025940713075</x:v>
      </x:c>
      <x:c r="Q9" s="1"/>
      <x:c r="R9" s="1" t="n">
        <x:v>4</x:v>
      </x:c>
      <x:c r="S9" s="1" t="n">
        <x:f>J9</x:f>
        <x:v>0.7561298811658252</x:v>
      </x:c>
      <x:c r="T9" s="1" t="n">
        <x:f>O9</x:f>
        <x:v>1.0161115056798706</x:v>
      </x:c>
      <x:c r="U9" s="1" t="n">
        <x:f>L9/1E15</x:f>
        <x:v>1.2013207131114898</x:v>
      </x:c>
    </x:row>
    <x:row r="10" ht="15" hidden="0" customHeight="1">
      <x:c r="A10" s="1" t="str">
        <x:v>5.csv</x:v>
      </x:c>
      <x:c r="B10" s="1" t="n">
        <x:v>28</x:v>
      </x:c>
      <x:c r="C10" s="1" t="n">
        <x:v>-3</x:v>
      </x:c>
      <x:c r="D10" s="1" t="n">
        <x:v>-0.3</x:v>
      </x:c>
      <x:c r="E10" s="1" t="n">
        <x:v>-2.0726112301022775e+22</x:v>
      </x:c>
      <x:c r="F10" s="1" t="n">
        <x:v>109938253073526780000</x:v>
      </x:c>
      <x:c r="G10" s="1" t="n">
        <x:v>1.4981917185960218e+22</x:v>
      </x:c>
      <x:c r="H10" s="1" t="n">
        <x:v>201969467432328800000</x:v>
      </x:c>
      <x:c r="I10" s="1" t="n">
        <x:v>0.9992689994026864</x:v>
      </x:c>
      <x:c r="J10" s="1" t="n">
        <x:f>-G10/E10</x:f>
        <x:v>0.7228522632882243</x:v>
      </x:c>
      <x:c r="K10" s="1" t="n">
        <x:v>0.013295724926205014</x:v>
      </x:c>
      <x:c r="L10" s="1" t="n">
        <x:f>-2/(Summary!$B$19*Summary!$B$20*Summary!$B$21^2*E10)</x:f>
        <x:v>1163596434230377.5</x:v>
      </x:c>
      <x:c r="M10" s="1" t="n">
        <x:v>6172105863556.469</x:v>
      </x:c>
      <x:c r="N10" s="1" t="n">
        <x:f>Summary!$B$24*LN(Summary!$B$23/L10)</x:f>
        <x:v>0.2608064574533482</x:v>
      </x:c>
      <x:c r="O10" s="1" t="n">
        <x:f>J10+N10</x:f>
        <x:v>0.9836587207415725</x:v>
      </x:c>
      <x:c r="P10" s="1" t="n">
        <x:v>0.013296432052017831</x:v>
      </x:c>
      <x:c r="Q10" s="1"/>
      <x:c r="R10" s="1" t="n">
        <x:v>5</x:v>
      </x:c>
      <x:c r="S10" s="1" t="n">
        <x:f>J10</x:f>
        <x:v>0.7228522632882243</x:v>
      </x:c>
      <x:c r="T10" s="1" t="n">
        <x:f>O10</x:f>
        <x:v>0.9836587207415725</x:v>
      </x:c>
      <x:c r="U10" s="1" t="n">
        <x:f>L10/1E15</x:f>
        <x:v>1.1635964342303775</x:v>
      </x:c>
    </x:row>
    <x:row r="11" ht="15" hidden="0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15" hidden="0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15" hidden="0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1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 ht="15" hidden="0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 ht="15" hidden="0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 ht="15" hidden="0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 ht="15" hidden="0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 ht="15" hidden="0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 ht="15" hidden="0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 ht="15" hidden="0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 ht="15" hidden="0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 ht="15" hidden="0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 ht="15" hidden="0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 ht="15" hidden="0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 ht="15" hidden="0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 ht="15" hidden="0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 ht="15" hidden="0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 ht="15" hidden="0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 ht="15" hidden="0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 ht="15" hidden="0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 ht="15" hidden="0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 ht="15" hidden="0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 ht="15" hidden="0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  <x:row r="101" ht="15" hidden="0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</x:row>
    <x:row r="102" ht="15" hidden="0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</x:row>
    <x:row r="103" ht="15" hidden="0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</x:row>
    <x:row r="104" ht="15" hidden="0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</x:row>
    <x:row r="105" ht="15" hidden="0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</x:row>
    <x:row r="106" ht="15" hidden="0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</x:row>
    <x:row r="107" ht="15" hidden="0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</x:row>
    <x:row r="108" ht="15" hidden="0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</x:row>
    <x:row r="109" ht="15" hidden="0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</x:row>
    <x:row r="110" ht="15" hidden="0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</x:row>
    <x:row r="111" ht="15" hidden="0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</x:row>
    <x:row r="112" ht="15" hidden="0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</x:row>
    <x:row r="113" ht="15" hidden="0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</x:row>
    <x:row r="114" ht="15" hidden="0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</x:row>
    <x:row r="115" ht="15" hidden="0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</x:row>
    <x:row r="116" ht="15" hidden="0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</x:row>
    <x:row r="117" ht="15" hidden="0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</x:row>
    <x:row r="118" ht="15" hidden="0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</x:row>
    <x:row r="119" ht="15" hidden="0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</x:row>
    <x:row r="120" ht="15" hidden="0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</x:row>
    <x:row r="121" ht="15" hidden="0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</x:row>
    <x:row r="122" ht="15" hidden="0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</x:row>
    <x:row r="123" ht="15" hidden="0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</x:row>
    <x:row r="124" ht="15" hidden="0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</x:row>
    <x:row r="125" ht="15" hidden="0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</x:row>
    <x:row r="126" ht="15" hidden="0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</x:row>
    <x:row r="127" ht="15" hidden="0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</x:row>
    <x:row r="128" ht="15" hidden="0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</x:row>
    <x:row r="129" ht="15" hidden="0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</x:row>
    <x:row r="130" ht="15" hidden="0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</x:row>
    <x:row r="131" ht="15" hidden="0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</x:row>
    <x:row r="132" ht="15" hidden="0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</x:row>
    <x:row r="133" ht="15" hidden="0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</x:row>
    <x:row r="134" ht="15" hidden="0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</x:row>
    <x:row r="135" ht="15" hidden="0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</x:row>
    <x:row r="136" ht="15" hidden="0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</x:row>
    <x:row r="137" ht="15" hidden="0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</x:row>
    <x:row r="138" ht="15" hidden="0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</x:row>
    <x:row r="139" ht="15" hidden="0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</x:row>
    <x:row r="140" ht="15" hidden="0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</x:row>
    <x:row r="141" ht="15" hidden="0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</x:row>
    <x:row r="142" ht="15" hidden="0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</x:row>
    <x:row r="143" ht="15" hidden="0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</x:row>
    <x:row r="144" ht="15" hidden="0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</x:row>
    <x:row r="145" ht="15" hidden="0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</x:row>
    <x:row r="146" ht="15" hidden="0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</x:row>
    <x:row r="147" ht="15" hidden="0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</x:row>
    <x:row r="148" ht="15" hidden="0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</x:row>
    <x:row r="149" ht="15" hidden="0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</x:row>
    <x:row r="150" ht="15" hidden="0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</x:row>
    <x:row r="151" ht="15" hidden="0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</x:row>
    <x:row r="152" ht="15" hidden="0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</x:row>
    <x:row r="153" ht="15" hidden="0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</x:row>
    <x:row r="154" ht="15" hidden="0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</x:row>
    <x:row r="155" ht="15" hidden="0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</x:row>
    <x:row r="156" ht="15" hidden="0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</x:row>
    <x:row r="157" ht="15" hidden="0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</x:row>
    <x:row r="158" ht="15" hidden="0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</x:row>
    <x:row r="159" ht="15" hidden="0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</x:row>
    <x:row r="160" ht="15" hidden="0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</x:row>
    <x:row r="161" ht="15" hidden="0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</x:row>
    <x:row r="162" ht="15" hidden="0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</x:row>
    <x:row r="163" ht="15" hidden="0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</x:row>
    <x:row r="164" ht="15" hidden="0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</x:row>
    <x:row r="165" ht="15" hidden="0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</x:row>
    <x:row r="166" ht="15" hidden="0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</x:row>
    <x:row r="167" ht="15" hidden="0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</x:row>
    <x:row r="168" ht="15" hidden="0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</x:row>
    <x:row r="169" ht="15" hidden="0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</x:row>
    <x:row r="170" ht="15" hidden="0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</x:row>
    <x:row r="171" ht="15" hidden="0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</x:row>
    <x:row r="172" ht="15" hidden="0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</x:row>
    <x:row r="173" ht="15" hidden="0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</x:row>
    <x:row r="174" ht="15" hidden="0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</x:row>
    <x:row r="175" ht="15" hidden="0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</x:row>
    <x:row r="176" ht="15" hidden="0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</x:row>
    <x:row r="177" ht="15" hidden="0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</x:row>
    <x:row r="178" ht="15" hidden="0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</x:row>
    <x:row r="179" ht="15" hidden="0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</x:row>
    <x:row r="180" ht="15" hidden="0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</x:row>
    <x:row r="181" ht="15" hidden="0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</x:row>
    <x:row r="182" ht="15" hidden="0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</x:row>
    <x:row r="183" ht="15" hidden="0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</x:row>
    <x:row r="184" ht="15" hidden="0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</x:row>
    <x:row r="185" ht="15" hidden="0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</x:row>
    <x:row r="186" ht="15" hidden="0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</x:row>
    <x:row r="187" ht="15" hidden="0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</x:row>
    <x:row r="188" ht="15" hidden="0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</x:row>
    <x:row r="189" ht="15" hidden="0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</x:row>
    <x:row r="190" ht="15" hidden="0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</x:row>
    <x:row r="191" ht="15" hidden="0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</x:row>
    <x:row r="192" ht="15" hidden="0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</x:row>
    <x:row r="193" ht="15" hidden="0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</x:row>
    <x:row r="194" ht="15" hidden="0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</x:row>
    <x:row r="195" ht="15" hidden="0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</x:row>
    <x:row r="196" ht="15" hidden="0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</x:row>
    <x:row r="197" ht="15" hidden="0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</x:row>
    <x:row r="198" ht="15" hidden="0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</x:row>
    <x:row r="199" ht="15" hidden="0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</x:row>
    <x:row r="200" ht="15" hidden="0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</x:row>
    <x:row r="201" ht="15" hidden="0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</x:row>
    <x:row r="202" ht="15" hidden="0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</x:row>
    <x:row r="203" ht="15" hidden="0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</x:row>
    <x:row r="204" ht="15" hidden="0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</x:row>
    <x:row r="205" ht="15" hidden="0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</x:row>
    <x:row r="206" ht="15" hidden="0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</x:row>
    <x:row r="207" ht="15" hidden="0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</x:row>
    <x:row r="208" ht="15" hidden="0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</x:row>
    <x:row r="209" ht="15" hidden="0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</x:row>
    <x:row r="210" ht="15" hidden="0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</x:row>
    <x:row r="211" ht="15" hidden="0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</x:row>
    <x:row r="212" ht="15" hidden="0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</x:row>
    <x:row r="213" ht="15" hidden="0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</x:row>
    <x:row r="214" ht="15" hidden="0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</x:row>
    <x:row r="215" ht="15" hidden="0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</x:row>
    <x:row r="216" ht="15" hidden="0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</x:row>
    <x:row r="217" ht="15" hidden="0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</x:row>
    <x:row r="218" ht="15" hidden="0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</x:row>
    <x:row r="219" ht="15" hidden="0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</x:row>
    <x:row r="220" ht="15" hidden="0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</x:row>
    <x:row r="221" ht="15" hidden="0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</x:row>
    <x:row r="222" ht="15" hidden="0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</x:row>
    <x:row r="223" ht="15" hidden="0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</x:row>
    <x:row r="224" ht="15" hidden="0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</x:row>
    <x:row r="225" ht="15" hidden="0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</x:row>
    <x:row r="226" ht="15" hidden="0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</x:row>
    <x:row r="227" ht="15" hidden="0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</x:row>
    <x:row r="228" ht="15" hidden="0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</x:row>
    <x:row r="229" ht="15" hidden="0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</x:row>
    <x:row r="230" ht="15" hidden="0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</x:row>
    <x:row r="231" ht="15" hidden="0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</x:row>
    <x:row r="232" ht="15" hidden="0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</x:row>
    <x:row r="233" ht="15" hidden="0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</x:row>
    <x:row r="234" ht="15" hidden="0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</x:row>
    <x:row r="235" ht="15" hidden="0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</x:row>
    <x:row r="236" ht="15" hidden="0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</x:row>
    <x:row r="237" ht="15" hidden="0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</x:row>
    <x:row r="238" ht="15" hidden="0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</x:row>
    <x:row r="239" ht="15" hidden="0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</x:row>
    <x:row r="240" ht="15" hidden="0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</x:row>
  </x:sheetData>
  <x:pageMargins left="0.7" right="0.7" top="0.75" bottom="0.75" header="0.3" footer="0.3"/>
  <x:drawing xmlns:r="http://schemas.openxmlformats.org/officeDocument/2006/relationships" r:id="Rce12e8aea5fe472e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4.25" hidden="0" customWidth="1"/>
    <x:col min="2" max="2" width="12" hidden="0" customWidth="1"/>
    <x:col min="3" max="3" width="8.5" hidden="0" customWidth="1"/>
    <x:col min="4" max="4" width="19.8799991607666" hidden="0" customWidth="1"/>
    <x:col min="5" max="5" width="16.75" hidden="0" customWidth="1"/>
    <x:col min="6" max="6" width="8.130000114440918" hidden="0" customWidth="1"/>
    <x:col min="7" max="7" width="7.5" hidden="0" customWidth="1"/>
    <x:col min="8" max="8" width="20.25" hidden="0" customWidth="1"/>
    <x:col min="9" max="9" width="19.25" hidden="0" customWidth="1"/>
    <x:col min="10" max="10" width="30.6299991607666" hidden="0" customWidth="1"/>
  </x:cols>
  <x:sheetData>
    <x:row r="1" ht="15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19.200000762939453" hidden="0" customHeight="1">
      <x:c r="A2" s="2" t="str">
        <x:v>I-V data integrity audit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15" hidden="0" customHeight="1">
      <x:c r="A3" s="3" t="str">
        <x:v>Sweep restarts and incomplete positive-bias ranges are explicitly flagged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15" hidden="0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</x:row>
    <x:row r="5" ht="15" hidden="0" customHeight="1">
      <x:c r="A5" s="9" t="str">
        <x:v>File</x:v>
      </x:c>
      <x:c r="B5" s="9" t="str">
        <x:v>OriginalPoints</x:v>
      </x:c>
      <x:c r="C5" s="9" t="str">
        <x:v>Segments</x:v>
      </x:c>
      <x:c r="D5" s="9" t="str">
        <x:v>UsedSegmentStartIndex</x:v>
      </x:c>
      <x:c r="E5" s="9" t="str">
        <x:v>UsedSegmentPoints</x:v>
      </x:c>
      <x:c r="F5" s="9" t="str">
        <x:v>Vmin_V</x:v>
      </x:c>
      <x:c r="G5" s="9" t="str">
        <x:v>Vmax_V</x:v>
      </x:c>
      <x:c r="H5" s="9" t="str">
        <x:v>CompleteMinus3ToPlus3</x:v>
      </x:c>
      <x:c r="I5" s="9" t="str">
        <x:v>CommonWindowPoints</x:v>
      </x:c>
      <x:c r="J5" s="9" t="str">
        <x:v>Flag</x:v>
      </x:c>
      <x:c r="K5" s="1"/>
      <x:c r="L5" s="1"/>
      <x:c r="M5" s="1"/>
      <x:c r="N5" s="1"/>
      <x:c r="O5" s="1"/>
      <x:c r="P5" s="1"/>
      <x:c r="Q5" s="1"/>
    </x:row>
    <x:row r="6" ht="15" hidden="0" customHeight="1">
      <x:c r="A6" s="1" t="str">
        <x:v>1_10um.csv</x:v>
      </x:c>
      <x:c r="B6" s="1" t="n">
        <x:v>601</x:v>
      </x:c>
      <x:c r="C6" s="1" t="n">
        <x:v>1</x:v>
      </x:c>
      <x:c r="D6" s="1" t="n">
        <x:v>1</x:v>
      </x:c>
      <x:c r="E6" s="1" t="n">
        <x:v>601</x:v>
      </x:c>
      <x:c r="F6" s="1" t="n">
        <x:v>-3.000003</x:v>
      </x:c>
      <x:c r="G6" s="1" t="n">
        <x:v>2.999999</x:v>
      </x:c>
      <x:c r="H6" s="11" t="b">
        <x:v>1</x:v>
      </x:c>
      <x:c r="I6" s="1" t="n">
        <x:v>201</x:v>
      </x:c>
      <x:c r="J6" s="1" t="str">
        <x:v>OK</x:v>
      </x:c>
      <x:c r="K6" s="1"/>
      <x:c r="L6" s="1"/>
      <x:c r="M6" s="1"/>
      <x:c r="N6" s="1"/>
      <x:c r="O6" s="1"/>
      <x:c r="P6" s="1"/>
      <x:c r="Q6" s="1"/>
    </x:row>
    <x:row r="7" ht="15" hidden="0" customHeight="1">
      <x:c r="A7" s="1" t="str">
        <x:v>1_15um.csv</x:v>
      </x:c>
      <x:c r="B7" s="1" t="n">
        <x:v>601</x:v>
      </x:c>
      <x:c r="C7" s="1" t="n">
        <x:v>1</x:v>
      </x:c>
      <x:c r="D7" s="1" t="n">
        <x:v>1</x:v>
      </x:c>
      <x:c r="E7" s="1" t="n">
        <x:v>601</x:v>
      </x:c>
      <x:c r="F7" s="1" t="n">
        <x:v>-3</x:v>
      </x:c>
      <x:c r="G7" s="1" t="n">
        <x:v>2.999999</x:v>
      </x:c>
      <x:c r="H7" s="11" t="b">
        <x:v>1</x:v>
      </x:c>
      <x:c r="I7" s="1" t="n">
        <x:v>201</x:v>
      </x:c>
      <x:c r="J7" s="1" t="str">
        <x:v>OK</x:v>
      </x:c>
      <x:c r="K7" s="1"/>
      <x:c r="L7" s="1"/>
      <x:c r="M7" s="1"/>
      <x:c r="N7" s="1"/>
      <x:c r="O7" s="1"/>
      <x:c r="P7" s="1"/>
      <x:c r="Q7" s="1"/>
    </x:row>
    <x:row r="8" ht="15" hidden="0" customHeight="1">
      <x:c r="A8" s="1" t="str">
        <x:v>1_20um.csv</x:v>
      </x:c>
      <x:c r="B8" s="1" t="n">
        <x:v>601</x:v>
      </x:c>
      <x:c r="C8" s="1" t="n">
        <x:v>1</x:v>
      </x:c>
      <x:c r="D8" s="1" t="n">
        <x:v>1</x:v>
      </x:c>
      <x:c r="E8" s="1" t="n">
        <x:v>601</x:v>
      </x:c>
      <x:c r="F8" s="1" t="n">
        <x:v>-3.000005</x:v>
      </x:c>
      <x:c r="G8" s="1" t="n">
        <x:v>2.999999</x:v>
      </x:c>
      <x:c r="H8" s="11" t="b">
        <x:v>1</x:v>
      </x:c>
      <x:c r="I8" s="1" t="n">
        <x:v>201</x:v>
      </x:c>
      <x:c r="J8" s="1" t="str">
        <x:v>OK</x:v>
      </x:c>
      <x:c r="K8" s="1"/>
      <x:c r="L8" s="1"/>
      <x:c r="M8" s="1"/>
      <x:c r="N8" s="1"/>
      <x:c r="O8" s="1"/>
      <x:c r="P8" s="1"/>
      <x:c r="Q8" s="1"/>
    </x:row>
    <x:row r="9" ht="15" hidden="0" customHeight="1">
      <x:c r="A9" s="1" t="str">
        <x:v>1_25um.csv</x:v>
      </x:c>
      <x:c r="B9" s="1" t="n">
        <x:v>554</x:v>
      </x:c>
      <x:c r="C9" s="1" t="n">
        <x:v>1</x:v>
      </x:c>
      <x:c r="D9" s="1" t="n">
        <x:v>1</x:v>
      </x:c>
      <x:c r="E9" s="1" t="n">
        <x:v>554</x:v>
      </x:c>
      <x:c r="F9" s="1" t="n">
        <x:v>-3</x:v>
      </x:c>
      <x:c r="G9" s="1" t="n">
        <x:v>2.529999</x:v>
      </x:c>
      <x:c r="H9" s="11" t="b">
        <x:v>0</x:v>
      </x:c>
      <x:c r="I9" s="1" t="n">
        <x:v>201</x:v>
      </x:c>
      <x:c r="J9" s="1" t="str">
        <x:v>incomplete positive sweep</x:v>
      </x:c>
      <x:c r="K9" s="1"/>
      <x:c r="L9" s="1"/>
      <x:c r="M9" s="1"/>
      <x:c r="N9" s="1"/>
      <x:c r="O9" s="1"/>
      <x:c r="P9" s="1"/>
      <x:c r="Q9" s="1"/>
    </x:row>
    <x:row r="10" ht="15" hidden="0" customHeight="1">
      <x:c r="A10" s="1" t="str">
        <x:v>1_30um.csv</x:v>
      </x:c>
      <x:c r="B10" s="1" t="n">
        <x:v>633</x:v>
      </x:c>
      <x:c r="C10" s="1" t="n">
        <x:v>2</x:v>
      </x:c>
      <x:c r="D10" s="1" t="n">
        <x:v>1</x:v>
      </x:c>
      <x:c r="E10" s="1" t="n">
        <x:v>601</x:v>
      </x:c>
      <x:c r="F10" s="1" t="n">
        <x:v>-3.000001</x:v>
      </x:c>
      <x:c r="G10" s="1" t="n">
        <x:v>3</x:v>
      </x:c>
      <x:c r="H10" s="11" t="b">
        <x:v>1</x:v>
      </x:c>
      <x:c r="I10" s="1" t="n">
        <x:v>201</x:v>
      </x:c>
      <x:c r="J10" s="1" t="str">
        <x:v>restart; longest monotonic segment used</x:v>
      </x:c>
      <x:c r="K10" s="1"/>
      <x:c r="L10" s="1"/>
      <x:c r="M10" s="1"/>
      <x:c r="N10" s="1"/>
      <x:c r="O10" s="1"/>
      <x:c r="P10" s="1"/>
      <x:c r="Q10" s="1"/>
    </x:row>
    <x:row r="11" ht="15" hidden="0" customHeight="1">
      <x:c r="A11" s="1" t="str">
        <x:v>1_35um.csv</x:v>
      </x:c>
      <x:c r="B11" s="1" t="n">
        <x:v>601</x:v>
      </x:c>
      <x:c r="C11" s="1" t="n">
        <x:v>1</x:v>
      </x:c>
      <x:c r="D11" s="1" t="n">
        <x:v>1</x:v>
      </x:c>
      <x:c r="E11" s="1" t="n">
        <x:v>601</x:v>
      </x:c>
      <x:c r="F11" s="1" t="n">
        <x:v>-3.000021</x:v>
      </x:c>
      <x:c r="G11" s="1" t="n">
        <x:v>2.999999</x:v>
      </x:c>
      <x:c r="H11" s="11" t="b">
        <x:v>1</x:v>
      </x:c>
      <x:c r="I11" s="1" t="n">
        <x:v>201</x:v>
      </x:c>
      <x:c r="J11" s="1" t="str">
        <x:v>OK</x:v>
      </x:c>
      <x:c r="K11" s="1"/>
      <x:c r="L11" s="1"/>
      <x:c r="M11" s="1"/>
      <x:c r="N11" s="1"/>
      <x:c r="O11" s="1"/>
      <x:c r="P11" s="1"/>
      <x:c r="Q11" s="1"/>
    </x:row>
    <x:row r="12" ht="15" hidden="0" customHeight="1">
      <x:c r="A12" s="1" t="str">
        <x:v>2_10um.csv</x:v>
      </x:c>
      <x:c r="B12" s="1" t="n">
        <x:v>601</x:v>
      </x:c>
      <x:c r="C12" s="1" t="n">
        <x:v>1</x:v>
      </x:c>
      <x:c r="D12" s="1" t="n">
        <x:v>1</x:v>
      </x:c>
      <x:c r="E12" s="1" t="n">
        <x:v>601</x:v>
      </x:c>
      <x:c r="F12" s="1" t="n">
        <x:v>-3.000001</x:v>
      </x:c>
      <x:c r="G12" s="1" t="n">
        <x:v>3</x:v>
      </x:c>
      <x:c r="H12" s="11" t="b">
        <x:v>1</x:v>
      </x:c>
      <x:c r="I12" s="1" t="n">
        <x:v>201</x:v>
      </x:c>
      <x:c r="J12" s="1" t="str">
        <x:v>OK</x:v>
      </x:c>
      <x:c r="K12" s="1"/>
      <x:c r="L12" s="1"/>
      <x:c r="M12" s="1"/>
      <x:c r="N12" s="1"/>
      <x:c r="O12" s="1"/>
      <x:c r="P12" s="1"/>
      <x:c r="Q12" s="1"/>
    </x:row>
    <x:row r="13" ht="15" hidden="0" customHeight="1">
      <x:c r="A13" s="1" t="str">
        <x:v>2_15um.csv</x:v>
      </x:c>
      <x:c r="B13" s="1" t="n">
        <x:v>601</x:v>
      </x:c>
      <x:c r="C13" s="1" t="n">
        <x:v>1</x:v>
      </x:c>
      <x:c r="D13" s="1" t="n">
        <x:v>1</x:v>
      </x:c>
      <x:c r="E13" s="1" t="n">
        <x:v>601</x:v>
      </x:c>
      <x:c r="F13" s="1" t="n">
        <x:v>-2.999999</x:v>
      </x:c>
      <x:c r="G13" s="1" t="n">
        <x:v>2.999999</x:v>
      </x:c>
      <x:c r="H13" s="11" t="b">
        <x:v>1</x:v>
      </x:c>
      <x:c r="I13" s="1" t="n">
        <x:v>201</x:v>
      </x:c>
      <x:c r="J13" s="1" t="str">
        <x:v>OK</x:v>
      </x:c>
      <x:c r="K13" s="1"/>
      <x:c r="L13" s="1"/>
      <x:c r="M13" s="1"/>
      <x:c r="N13" s="1"/>
      <x:c r="O13" s="1"/>
      <x:c r="P13" s="1"/>
      <x:c r="Q13" s="1"/>
    </x:row>
    <x:row r="14" ht="15" hidden="0" customHeight="1">
      <x:c r="A14" s="1" t="str">
        <x:v>2_20um.csv</x:v>
      </x:c>
      <x:c r="B14" s="1" t="n">
        <x:v>601</x:v>
      </x:c>
      <x:c r="C14" s="1" t="n">
        <x:v>1</x:v>
      </x:c>
      <x:c r="D14" s="1" t="n">
        <x:v>1</x:v>
      </x:c>
      <x:c r="E14" s="1" t="n">
        <x:v>601</x:v>
      </x:c>
      <x:c r="F14" s="1" t="n">
        <x:v>-3.000001</x:v>
      </x:c>
      <x:c r="G14" s="1" t="n">
        <x:v>2.999999</x:v>
      </x:c>
      <x:c r="H14" s="11" t="b">
        <x:v>1</x:v>
      </x:c>
      <x:c r="I14" s="1" t="n">
        <x:v>201</x:v>
      </x:c>
      <x:c r="J14" s="1" t="str">
        <x:v>OK</x:v>
      </x:c>
      <x:c r="K14" s="1"/>
      <x:c r="L14" s="1"/>
      <x:c r="M14" s="1"/>
      <x:c r="N14" s="1"/>
      <x:c r="O14" s="1"/>
      <x:c r="P14" s="1"/>
      <x:c r="Q14" s="1"/>
    </x:row>
    <x:row r="15" ht="15" hidden="0" customHeight="1">
      <x:c r="A15" s="1" t="str">
        <x:v>2_25um.csv</x:v>
      </x:c>
      <x:c r="B15" s="1" t="n">
        <x:v>509</x:v>
      </x:c>
      <x:c r="C15" s="1" t="n">
        <x:v>1</x:v>
      </x:c>
      <x:c r="D15" s="1" t="n">
        <x:v>1</x:v>
      </x:c>
      <x:c r="E15" s="1" t="n">
        <x:v>509</x:v>
      </x:c>
      <x:c r="F15" s="1" t="n">
        <x:v>-2.999999</x:v>
      </x:c>
      <x:c r="G15" s="1" t="n">
        <x:v>2.079999</x:v>
      </x:c>
      <x:c r="H15" s="11" t="b">
        <x:v>0</x:v>
      </x:c>
      <x:c r="I15" s="1" t="n">
        <x:v>201</x:v>
      </x:c>
      <x:c r="J15" s="1" t="str">
        <x:v>incomplete positive sweep</x:v>
      </x:c>
      <x:c r="K15" s="1"/>
      <x:c r="L15" s="1"/>
      <x:c r="M15" s="1"/>
      <x:c r="N15" s="1"/>
      <x:c r="O15" s="1"/>
      <x:c r="P15" s="1"/>
      <x:c r="Q15" s="1"/>
    </x:row>
    <x:row r="16" ht="15" hidden="0" customHeight="1">
      <x:c r="A16" s="1" t="str">
        <x:v>2_30um.csv</x:v>
      </x:c>
      <x:c r="B16" s="1" t="n">
        <x:v>527</x:v>
      </x:c>
      <x:c r="C16" s="1" t="n">
        <x:v>1</x:v>
      </x:c>
      <x:c r="D16" s="1" t="n">
        <x:v>1</x:v>
      </x:c>
      <x:c r="E16" s="1" t="n">
        <x:v>527</x:v>
      </x:c>
      <x:c r="F16" s="1" t="n">
        <x:v>-3</x:v>
      </x:c>
      <x:c r="G16" s="1" t="n">
        <x:v>2.260003</x:v>
      </x:c>
      <x:c r="H16" s="11" t="b">
        <x:v>0</x:v>
      </x:c>
      <x:c r="I16" s="1" t="n">
        <x:v>201</x:v>
      </x:c>
      <x:c r="J16" s="1" t="str">
        <x:v>incomplete positive sweep</x:v>
      </x:c>
      <x:c r="K16" s="1"/>
      <x:c r="L16" s="1"/>
      <x:c r="M16" s="1"/>
      <x:c r="N16" s="1"/>
      <x:c r="O16" s="1"/>
      <x:c r="P16" s="1"/>
      <x:c r="Q16" s="1"/>
    </x:row>
    <x:row r="17" ht="15" hidden="0" customHeight="1">
      <x:c r="A17" s="1" t="str">
        <x:v>2_35um.csv</x:v>
      </x:c>
      <x:c r="B17" s="1" t="n">
        <x:v>601</x:v>
      </x:c>
      <x:c r="C17" s="1" t="n">
        <x:v>1</x:v>
      </x:c>
      <x:c r="D17" s="1" t="n">
        <x:v>1</x:v>
      </x:c>
      <x:c r="E17" s="1" t="n">
        <x:v>601</x:v>
      </x:c>
      <x:c r="F17" s="1" t="n">
        <x:v>-3.000001</x:v>
      </x:c>
      <x:c r="G17" s="1" t="n">
        <x:v>2.999997</x:v>
      </x:c>
      <x:c r="H17" s="11" t="b">
        <x:v>1</x:v>
      </x:c>
      <x:c r="I17" s="1" t="n">
        <x:v>201</x:v>
      </x:c>
      <x:c r="J17" s="1" t="str">
        <x:v>OK</x:v>
      </x:c>
      <x:c r="K17" s="1"/>
      <x:c r="L17" s="1"/>
      <x:c r="M17" s="1"/>
      <x:c r="N17" s="1"/>
      <x:c r="O17" s="1"/>
      <x:c r="P17" s="1"/>
      <x:c r="Q17" s="1"/>
    </x:row>
    <x:row r="18" ht="15" hidden="0" customHeight="1">
      <x:c r="A18" s="1" t="str">
        <x:v>3_10um.csv</x:v>
      </x:c>
      <x:c r="B18" s="1" t="n">
        <x:v>601</x:v>
      </x:c>
      <x:c r="C18" s="1" t="n">
        <x:v>1</x:v>
      </x:c>
      <x:c r="D18" s="1" t="n">
        <x:v>1</x:v>
      </x:c>
      <x:c r="E18" s="1" t="n">
        <x:v>601</x:v>
      </x:c>
      <x:c r="F18" s="1" t="n">
        <x:v>-3.000001</x:v>
      </x:c>
      <x:c r="G18" s="1" t="n">
        <x:v>2.999999</x:v>
      </x:c>
      <x:c r="H18" s="11" t="b">
        <x:v>1</x:v>
      </x:c>
      <x:c r="I18" s="1" t="n">
        <x:v>201</x:v>
      </x:c>
      <x:c r="J18" s="1" t="str">
        <x:v>OK</x:v>
      </x:c>
      <x:c r="K18" s="1"/>
      <x:c r="L18" s="1"/>
      <x:c r="M18" s="1"/>
      <x:c r="N18" s="1"/>
      <x:c r="O18" s="1"/>
      <x:c r="P18" s="1"/>
      <x:c r="Q18" s="1"/>
    </x:row>
    <x:row r="19" ht="15" hidden="0" customHeight="1">
      <x:c r="A19" s="1" t="str">
        <x:v>3_15um.csv</x:v>
      </x:c>
      <x:c r="B19" s="1" t="n">
        <x:v>601</x:v>
      </x:c>
      <x:c r="C19" s="1" t="n">
        <x:v>1</x:v>
      </x:c>
      <x:c r="D19" s="1" t="n">
        <x:v>1</x:v>
      </x:c>
      <x:c r="E19" s="1" t="n">
        <x:v>601</x:v>
      </x:c>
      <x:c r="F19" s="1" t="n">
        <x:v>-2.999999</x:v>
      </x:c>
      <x:c r="G19" s="1" t="n">
        <x:v>2.999999</x:v>
      </x:c>
      <x:c r="H19" s="11" t="b">
        <x:v>1</x:v>
      </x:c>
      <x:c r="I19" s="1" t="n">
        <x:v>201</x:v>
      </x:c>
      <x:c r="J19" s="1" t="str">
        <x:v>OK</x:v>
      </x:c>
      <x:c r="K19" s="1"/>
      <x:c r="L19" s="1"/>
      <x:c r="M19" s="1"/>
      <x:c r="N19" s="1"/>
      <x:c r="O19" s="1"/>
      <x:c r="P19" s="1"/>
      <x:c r="Q19" s="1"/>
    </x:row>
    <x:row r="20" ht="15" hidden="0" customHeight="1">
      <x:c r="A20" s="1" t="str">
        <x:v>3_20um.csv</x:v>
      </x:c>
      <x:c r="B20" s="1" t="n">
        <x:v>601</x:v>
      </x:c>
      <x:c r="C20" s="1" t="n">
        <x:v>1</x:v>
      </x:c>
      <x:c r="D20" s="1" t="n">
        <x:v>1</x:v>
      </x:c>
      <x:c r="E20" s="1" t="n">
        <x:v>601</x:v>
      </x:c>
      <x:c r="F20" s="1" t="n">
        <x:v>-3</x:v>
      </x:c>
      <x:c r="G20" s="1" t="n">
        <x:v>2.999999</x:v>
      </x:c>
      <x:c r="H20" s="11" t="b">
        <x:v>1</x:v>
      </x:c>
      <x:c r="I20" s="1" t="n">
        <x:v>201</x:v>
      </x:c>
      <x:c r="J20" s="1" t="str">
        <x:v>OK</x:v>
      </x:c>
      <x:c r="K20" s="1"/>
      <x:c r="L20" s="1"/>
      <x:c r="M20" s="1"/>
      <x:c r="N20" s="1"/>
      <x:c r="O20" s="1"/>
      <x:c r="P20" s="1"/>
      <x:c r="Q20" s="1"/>
    </x:row>
    <x:row r="21" ht="15" hidden="0" customHeight="1">
      <x:c r="A21" s="1" t="str">
        <x:v>3_25um.csv</x:v>
      </x:c>
      <x:c r="B21" s="1" t="n">
        <x:v>561</x:v>
      </x:c>
      <x:c r="C21" s="1" t="n">
        <x:v>1</x:v>
      </x:c>
      <x:c r="D21" s="1" t="n">
        <x:v>1</x:v>
      </x:c>
      <x:c r="E21" s="1" t="n">
        <x:v>561</x:v>
      </x:c>
      <x:c r="F21" s="1" t="n">
        <x:v>-2.999999</x:v>
      </x:c>
      <x:c r="G21" s="1" t="n">
        <x:v>2.6</x:v>
      </x:c>
      <x:c r="H21" s="11" t="b">
        <x:v>0</x:v>
      </x:c>
      <x:c r="I21" s="1" t="n">
        <x:v>201</x:v>
      </x:c>
      <x:c r="J21" s="1" t="str">
        <x:v>incomplete positive sweep</x:v>
      </x:c>
      <x:c r="K21" s="1"/>
      <x:c r="L21" s="1"/>
      <x:c r="M21" s="1"/>
      <x:c r="N21" s="1"/>
      <x:c r="O21" s="1"/>
      <x:c r="P21" s="1"/>
      <x:c r="Q21" s="1"/>
    </x:row>
    <x:row r="22" ht="15" hidden="0" customHeight="1">
      <x:c r="A22" s="1" t="str">
        <x:v>3_30um.csv</x:v>
      </x:c>
      <x:c r="B22" s="1" t="n">
        <x:v>448</x:v>
      </x:c>
      <x:c r="C22" s="1" t="n">
        <x:v>1</x:v>
      </x:c>
      <x:c r="D22" s="1" t="n">
        <x:v>1</x:v>
      </x:c>
      <x:c r="E22" s="1" t="n">
        <x:v>448</x:v>
      </x:c>
      <x:c r="F22" s="1" t="n">
        <x:v>-3</x:v>
      </x:c>
      <x:c r="G22" s="1" t="n">
        <x:v>1.47</x:v>
      </x:c>
      <x:c r="H22" s="11" t="b">
        <x:v>0</x:v>
      </x:c>
      <x:c r="I22" s="1" t="n">
        <x:v>201</x:v>
      </x:c>
      <x:c r="J22" s="1" t="str">
        <x:v>incomplete positive sweep</x:v>
      </x:c>
      <x:c r="K22" s="1"/>
      <x:c r="L22" s="1"/>
      <x:c r="M22" s="1"/>
      <x:c r="N22" s="1"/>
      <x:c r="O22" s="1"/>
      <x:c r="P22" s="1"/>
      <x:c r="Q22" s="1"/>
    </x:row>
    <x:row r="23" ht="15" hidden="0" customHeight="1">
      <x:c r="A23" s="1" t="str">
        <x:v>3_35um.csv</x:v>
      </x:c>
      <x:c r="B23" s="1" t="n">
        <x:v>601</x:v>
      </x:c>
      <x:c r="C23" s="1" t="n">
        <x:v>1</x:v>
      </x:c>
      <x:c r="D23" s="1" t="n">
        <x:v>1</x:v>
      </x:c>
      <x:c r="E23" s="1" t="n">
        <x:v>601</x:v>
      </x:c>
      <x:c r="F23" s="1" t="n">
        <x:v>-3</x:v>
      </x:c>
      <x:c r="G23" s="1" t="n">
        <x:v>3.000002</x:v>
      </x:c>
      <x:c r="H23" s="11" t="b">
        <x:v>1</x:v>
      </x:c>
      <x:c r="I23" s="1" t="n">
        <x:v>201</x:v>
      </x:c>
      <x:c r="J23" s="1" t="str">
        <x:v>OK</x:v>
      </x:c>
      <x:c r="K23" s="1"/>
      <x:c r="L23" s="1"/>
      <x:c r="M23" s="1"/>
      <x:c r="N23" s="1"/>
      <x:c r="O23" s="1"/>
      <x:c r="P23" s="1"/>
      <x:c r="Q23" s="1"/>
    </x:row>
    <x:row r="24" ht="15" hidden="0" customHeight="1">
      <x:c r="A24" s="1" t="str">
        <x:v>4_10um.csv</x:v>
      </x:c>
      <x:c r="B24" s="1" t="n">
        <x:v>601</x:v>
      </x:c>
      <x:c r="C24" s="1" t="n">
        <x:v>1</x:v>
      </x:c>
      <x:c r="D24" s="1" t="n">
        <x:v>1</x:v>
      </x:c>
      <x:c r="E24" s="1" t="n">
        <x:v>601</x:v>
      </x:c>
      <x:c r="F24" s="1" t="n">
        <x:v>-3</x:v>
      </x:c>
      <x:c r="G24" s="1" t="n">
        <x:v>3</x:v>
      </x:c>
      <x:c r="H24" s="11" t="b">
        <x:v>1</x:v>
      </x:c>
      <x:c r="I24" s="1" t="n">
        <x:v>201</x:v>
      </x:c>
      <x:c r="J24" s="1" t="str">
        <x:v>OK</x:v>
      </x:c>
      <x:c r="K24" s="1"/>
      <x:c r="L24" s="1"/>
      <x:c r="M24" s="1"/>
      <x:c r="N24" s="1"/>
      <x:c r="O24" s="1"/>
      <x:c r="P24" s="1"/>
      <x:c r="Q24" s="1"/>
    </x:row>
    <x:row r="25" ht="15" hidden="0" customHeight="1">
      <x:c r="A25" s="1" t="str">
        <x:v>4_15um.csv</x:v>
      </x:c>
      <x:c r="B25" s="1" t="n">
        <x:v>601</x:v>
      </x:c>
      <x:c r="C25" s="1" t="n">
        <x:v>1</x:v>
      </x:c>
      <x:c r="D25" s="1" t="n">
        <x:v>1</x:v>
      </x:c>
      <x:c r="E25" s="1" t="n">
        <x:v>601</x:v>
      </x:c>
      <x:c r="F25" s="1" t="n">
        <x:v>-3</x:v>
      </x:c>
      <x:c r="G25" s="1" t="n">
        <x:v>2.999999</x:v>
      </x:c>
      <x:c r="H25" s="11" t="b">
        <x:v>1</x:v>
      </x:c>
      <x:c r="I25" s="1" t="n">
        <x:v>201</x:v>
      </x:c>
      <x:c r="J25" s="1" t="str">
        <x:v>OK</x:v>
      </x:c>
      <x:c r="K25" s="1"/>
      <x:c r="L25" s="1"/>
      <x:c r="M25" s="1"/>
      <x:c r="N25" s="1"/>
      <x:c r="O25" s="1"/>
      <x:c r="P25" s="1"/>
      <x:c r="Q25" s="1"/>
    </x:row>
    <x:row r="26" ht="15" hidden="0" customHeight="1">
      <x:c r="A26" s="1" t="str">
        <x:v>4_20um.csv</x:v>
      </x:c>
      <x:c r="B26" s="1" t="n">
        <x:v>601</x:v>
      </x:c>
      <x:c r="C26" s="1" t="n">
        <x:v>1</x:v>
      </x:c>
      <x:c r="D26" s="1" t="n">
        <x:v>1</x:v>
      </x:c>
      <x:c r="E26" s="1" t="n">
        <x:v>601</x:v>
      </x:c>
      <x:c r="F26" s="1" t="n">
        <x:v>-3</x:v>
      </x:c>
      <x:c r="G26" s="1" t="n">
        <x:v>2.999999</x:v>
      </x:c>
      <x:c r="H26" s="11" t="b">
        <x:v>1</x:v>
      </x:c>
      <x:c r="I26" s="1" t="n">
        <x:v>201</x:v>
      </x:c>
      <x:c r="J26" s="1" t="str">
        <x:v>OK</x:v>
      </x:c>
      <x:c r="K26" s="1"/>
      <x:c r="L26" s="1"/>
      <x:c r="M26" s="1"/>
      <x:c r="N26" s="1"/>
      <x:c r="O26" s="1"/>
      <x:c r="P26" s="1"/>
      <x:c r="Q26" s="1"/>
    </x:row>
    <x:row r="27" ht="15" hidden="0" customHeight="1">
      <x:c r="A27" s="1" t="str">
        <x:v>4_25um.csv</x:v>
      </x:c>
      <x:c r="B27" s="1" t="n">
        <x:v>458</x:v>
      </x:c>
      <x:c r="C27" s="1" t="n">
        <x:v>1</x:v>
      </x:c>
      <x:c r="D27" s="1" t="n">
        <x:v>1</x:v>
      </x:c>
      <x:c r="E27" s="1" t="n">
        <x:v>458</x:v>
      </x:c>
      <x:c r="F27" s="1" t="n">
        <x:v>-3</x:v>
      </x:c>
      <x:c r="G27" s="1" t="n">
        <x:v>1.569996</x:v>
      </x:c>
      <x:c r="H27" s="11" t="b">
        <x:v>0</x:v>
      </x:c>
      <x:c r="I27" s="1" t="n">
        <x:v>201</x:v>
      </x:c>
      <x:c r="J27" s="1" t="str">
        <x:v>incomplete positive sweep</x:v>
      </x:c>
      <x:c r="K27" s="1"/>
      <x:c r="L27" s="1"/>
      <x:c r="M27" s="1"/>
      <x:c r="N27" s="1"/>
      <x:c r="O27" s="1"/>
      <x:c r="P27" s="1"/>
      <x:c r="Q27" s="1"/>
    </x:row>
    <x:row r="28" ht="15" hidden="0" customHeight="1">
      <x:c r="A28" s="1" t="str">
        <x:v>4_30um.csv</x:v>
      </x:c>
      <x:c r="B28" s="1" t="n">
        <x:v>455</x:v>
      </x:c>
      <x:c r="C28" s="1" t="n">
        <x:v>1</x:v>
      </x:c>
      <x:c r="D28" s="1" t="n">
        <x:v>1</x:v>
      </x:c>
      <x:c r="E28" s="1" t="n">
        <x:v>455</x:v>
      </x:c>
      <x:c r="F28" s="1" t="n">
        <x:v>-3</x:v>
      </x:c>
      <x:c r="G28" s="1" t="n">
        <x:v>1.540002</x:v>
      </x:c>
      <x:c r="H28" s="11" t="b">
        <x:v>0</x:v>
      </x:c>
      <x:c r="I28" s="1" t="n">
        <x:v>201</x:v>
      </x:c>
      <x:c r="J28" s="1" t="str">
        <x:v>incomplete positive sweep</x:v>
      </x:c>
      <x:c r="K28" s="1"/>
      <x:c r="L28" s="1"/>
      <x:c r="M28" s="1"/>
      <x:c r="N28" s="1"/>
      <x:c r="O28" s="1"/>
      <x:c r="P28" s="1"/>
      <x:c r="Q28" s="1"/>
    </x:row>
    <x:row r="29" ht="15" hidden="0" customHeight="1">
      <x:c r="A29" s="1" t="str">
        <x:v>4_35um.csv</x:v>
      </x:c>
      <x:c r="B29" s="1" t="n">
        <x:v>601</x:v>
      </x:c>
      <x:c r="C29" s="1" t="n">
        <x:v>1</x:v>
      </x:c>
      <x:c r="D29" s="1" t="n">
        <x:v>1</x:v>
      </x:c>
      <x:c r="E29" s="1" t="n">
        <x:v>601</x:v>
      </x:c>
      <x:c r="F29" s="1" t="n">
        <x:v>-3</x:v>
      </x:c>
      <x:c r="G29" s="1" t="n">
        <x:v>2.999994</x:v>
      </x:c>
      <x:c r="H29" s="11" t="b">
        <x:v>1</x:v>
      </x:c>
      <x:c r="I29" s="1" t="n">
        <x:v>201</x:v>
      </x:c>
      <x:c r="J29" s="1" t="str">
        <x:v>OK</x:v>
      </x:c>
      <x:c r="K29" s="1"/>
      <x:c r="L29" s="1"/>
      <x:c r="M29" s="1"/>
      <x:c r="N29" s="1"/>
      <x:c r="O29" s="1"/>
      <x:c r="P29" s="1"/>
      <x:c r="Q29" s="1"/>
    </x:row>
    <x:row r="30" ht="15" hidden="0" customHeight="1">
      <x:c r="A30" s="1" t="str">
        <x:v>5_10um.csv</x:v>
      </x:c>
      <x:c r="B30" s="1" t="n">
        <x:v>601</x:v>
      </x:c>
      <x:c r="C30" s="1" t="n">
        <x:v>1</x:v>
      </x:c>
      <x:c r="D30" s="1" t="n">
        <x:v>1</x:v>
      </x:c>
      <x:c r="E30" s="1" t="n">
        <x:v>601</x:v>
      </x:c>
      <x:c r="F30" s="1" t="n">
        <x:v>-3</x:v>
      </x:c>
      <x:c r="G30" s="1" t="n">
        <x:v>2.999999</x:v>
      </x:c>
      <x:c r="H30" s="11" t="b">
        <x:v>1</x:v>
      </x:c>
      <x:c r="I30" s="1" t="n">
        <x:v>201</x:v>
      </x:c>
      <x:c r="J30" s="1" t="str">
        <x:v>OK</x:v>
      </x:c>
      <x:c r="K30" s="1"/>
      <x:c r="L30" s="1"/>
      <x:c r="M30" s="1"/>
      <x:c r="N30" s="1"/>
      <x:c r="O30" s="1"/>
      <x:c r="P30" s="1"/>
      <x:c r="Q30" s="1"/>
    </x:row>
    <x:row r="31" ht="15" hidden="0" customHeight="1">
      <x:c r="A31" s="1" t="str">
        <x:v>5_15um.csv</x:v>
      </x:c>
      <x:c r="B31" s="1" t="n">
        <x:v>601</x:v>
      </x:c>
      <x:c r="C31" s="1" t="n">
        <x:v>1</x:v>
      </x:c>
      <x:c r="D31" s="1" t="n">
        <x:v>1</x:v>
      </x:c>
      <x:c r="E31" s="1" t="n">
        <x:v>601</x:v>
      </x:c>
      <x:c r="F31" s="1" t="n">
        <x:v>-3</x:v>
      </x:c>
      <x:c r="G31" s="1" t="n">
        <x:v>2.999999</x:v>
      </x:c>
      <x:c r="H31" s="11" t="b">
        <x:v>1</x:v>
      </x:c>
      <x:c r="I31" s="1" t="n">
        <x:v>201</x:v>
      </x:c>
      <x:c r="J31" s="1" t="str">
        <x:v>OK</x:v>
      </x:c>
      <x:c r="K31" s="1"/>
      <x:c r="L31" s="1"/>
      <x:c r="M31" s="1"/>
      <x:c r="N31" s="1"/>
      <x:c r="O31" s="1"/>
      <x:c r="P31" s="1"/>
      <x:c r="Q31" s="1"/>
    </x:row>
    <x:row r="32" ht="15" hidden="0" customHeight="1">
      <x:c r="A32" s="1" t="str">
        <x:v>5_20um.csv</x:v>
      </x:c>
      <x:c r="B32" s="1" t="n">
        <x:v>601</x:v>
      </x:c>
      <x:c r="C32" s="1" t="n">
        <x:v>1</x:v>
      </x:c>
      <x:c r="D32" s="1" t="n">
        <x:v>1</x:v>
      </x:c>
      <x:c r="E32" s="1" t="n">
        <x:v>601</x:v>
      </x:c>
      <x:c r="F32" s="1" t="n">
        <x:v>-3.000001</x:v>
      </x:c>
      <x:c r="G32" s="1" t="n">
        <x:v>2.999999</x:v>
      </x:c>
      <x:c r="H32" s="11" t="b">
        <x:v>1</x:v>
      </x:c>
      <x:c r="I32" s="1" t="n">
        <x:v>201</x:v>
      </x:c>
      <x:c r="J32" s="1" t="str">
        <x:v>OK</x:v>
      </x:c>
      <x:c r="K32" s="1"/>
      <x:c r="L32" s="1"/>
      <x:c r="M32" s="1"/>
      <x:c r="N32" s="1"/>
      <x:c r="O32" s="1"/>
      <x:c r="P32" s="1"/>
      <x:c r="Q32" s="1"/>
    </x:row>
    <x:row r="33" ht="15" hidden="0" customHeight="1">
      <x:c r="A33" s="1" t="str">
        <x:v>5_25um.csv</x:v>
      </x:c>
      <x:c r="B33" s="1" t="n">
        <x:v>508</x:v>
      </x:c>
      <x:c r="C33" s="1" t="n">
        <x:v>1</x:v>
      </x:c>
      <x:c r="D33" s="1" t="n">
        <x:v>1</x:v>
      </x:c>
      <x:c r="E33" s="1" t="n">
        <x:v>508</x:v>
      </x:c>
      <x:c r="F33" s="1" t="n">
        <x:v>-2.999999</x:v>
      </x:c>
      <x:c r="G33" s="1" t="n">
        <x:v>2.069999</x:v>
      </x:c>
      <x:c r="H33" s="11" t="b">
        <x:v>0</x:v>
      </x:c>
      <x:c r="I33" s="1" t="n">
        <x:v>201</x:v>
      </x:c>
      <x:c r="J33" s="1" t="str">
        <x:v>incomplete positive sweep</x:v>
      </x:c>
      <x:c r="K33" s="1"/>
      <x:c r="L33" s="1"/>
      <x:c r="M33" s="1"/>
      <x:c r="N33" s="1"/>
      <x:c r="O33" s="1"/>
      <x:c r="P33" s="1"/>
      <x:c r="Q33" s="1"/>
    </x:row>
    <x:row r="34" ht="15" hidden="0" customHeight="1">
      <x:c r="A34" s="1" t="str">
        <x:v>5_30um.csv</x:v>
      </x:c>
      <x:c r="B34" s="1" t="n">
        <x:v>420</x:v>
      </x:c>
      <x:c r="C34" s="1" t="n">
        <x:v>1</x:v>
      </x:c>
      <x:c r="D34" s="1" t="n">
        <x:v>1</x:v>
      </x:c>
      <x:c r="E34" s="1" t="n">
        <x:v>420</x:v>
      </x:c>
      <x:c r="F34" s="1" t="n">
        <x:v>-3</x:v>
      </x:c>
      <x:c r="G34" s="1" t="n">
        <x:v>1.189999</x:v>
      </x:c>
      <x:c r="H34" s="11" t="b">
        <x:v>0</x:v>
      </x:c>
      <x:c r="I34" s="1" t="n">
        <x:v>201</x:v>
      </x:c>
      <x:c r="J34" s="1" t="str">
        <x:v>incomplete positive sweep</x:v>
      </x:c>
      <x:c r="K34" s="1"/>
      <x:c r="L34" s="1"/>
      <x:c r="M34" s="1"/>
      <x:c r="N34" s="1"/>
      <x:c r="O34" s="1"/>
      <x:c r="P34" s="1"/>
      <x:c r="Q34" s="1"/>
    </x:row>
    <x:row r="35" ht="15" hidden="0" customHeight="1">
      <x:c r="A35" s="1" t="str">
        <x:v>5_35um.csv</x:v>
      </x:c>
      <x:c r="B35" s="1" t="n">
        <x:v>601</x:v>
      </x:c>
      <x:c r="C35" s="1" t="n">
        <x:v>1</x:v>
      </x:c>
      <x:c r="D35" s="1" t="n">
        <x:v>1</x:v>
      </x:c>
      <x:c r="E35" s="1" t="n">
        <x:v>601</x:v>
      </x:c>
      <x:c r="F35" s="1" t="n">
        <x:v>-3</x:v>
      </x:c>
      <x:c r="G35" s="1" t="n">
        <x:v>3.000006</x:v>
      </x:c>
      <x:c r="H35" s="11" t="b">
        <x:v>1</x:v>
      </x:c>
      <x:c r="I35" s="1" t="n">
        <x:v>201</x:v>
      </x:c>
      <x:c r="J35" s="1" t="str">
        <x:v>OK</x:v>
      </x:c>
      <x:c r="K35" s="1"/>
      <x:c r="L35" s="1"/>
      <x:c r="M35" s="1"/>
      <x:c r="N35" s="1"/>
      <x:c r="O35" s="1"/>
      <x:c r="P35" s="1"/>
      <x:c r="Q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 ht="15" hidden="0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 ht="15" hidden="0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 ht="15" hidden="0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 ht="15" hidden="0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 ht="15" hidden="0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 ht="15" hidden="0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 ht="15" hidden="0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 ht="15" hidden="0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 ht="15" hidden="0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 ht="15" hidden="0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 ht="15" hidden="0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 ht="15" hidden="0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 ht="15" hidden="0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 ht="15" hidden="0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 ht="15" hidden="0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 ht="15" hidden="0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 ht="15" hidden="0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 ht="15" hidden="0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 ht="15" hidden="0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 ht="15" hidden="0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  <x:row r="101" ht="15" hidden="0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</x:row>
    <x:row r="102" ht="15" hidden="0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</x:row>
    <x:row r="103" ht="15" hidden="0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</x:row>
    <x:row r="104" ht="15" hidden="0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</x:row>
    <x:row r="105" ht="15" hidden="0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</x:row>
    <x:row r="106" ht="15" hidden="0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</x:row>
    <x:row r="107" ht="15" hidden="0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</x:row>
    <x:row r="108" ht="15" hidden="0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</x:row>
    <x:row r="109" ht="15" hidden="0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</x:row>
    <x:row r="110" ht="15" hidden="0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</x:row>
    <x:row r="111" ht="15" hidden="0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</x:row>
    <x:row r="112" ht="15" hidden="0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</x:row>
    <x:row r="113" ht="15" hidden="0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</x:row>
    <x:row r="114" ht="15" hidden="0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</x:row>
    <x:row r="115" ht="15" hidden="0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</x:row>
    <x:row r="116" ht="15" hidden="0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</x:row>
    <x:row r="117" ht="15" hidden="0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</x:row>
    <x:row r="118" ht="15" hidden="0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</x:row>
    <x:row r="119" ht="15" hidden="0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</x:row>
    <x:row r="120" ht="15" hidden="0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</x:row>
    <x:row r="121" ht="15" hidden="0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</x:row>
    <x:row r="122" ht="15" hidden="0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</x:row>
    <x:row r="123" ht="15" hidden="0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</x:row>
    <x:row r="124" ht="15" hidden="0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</x:row>
    <x:row r="125" ht="15" hidden="0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</x:row>
    <x:row r="126" ht="15" hidden="0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</x:row>
    <x:row r="127" ht="15" hidden="0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</x:row>
    <x:row r="128" ht="15" hidden="0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</x:row>
    <x:row r="129" ht="15" hidden="0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</x:row>
    <x:row r="130" ht="15" hidden="0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</x:row>
    <x:row r="131" ht="15" hidden="0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</x:row>
    <x:row r="132" ht="15" hidden="0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</x:row>
    <x:row r="133" ht="15" hidden="0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</x:row>
    <x:row r="134" ht="15" hidden="0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</x:row>
    <x:row r="135" ht="15" hidden="0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</x:row>
    <x:row r="136" ht="15" hidden="0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</x:row>
    <x:row r="137" ht="15" hidden="0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</x:row>
    <x:row r="138" ht="15" hidden="0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</x:row>
    <x:row r="139" ht="15" hidden="0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</x:row>
    <x:row r="140" ht="15" hidden="0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</x:row>
    <x:row r="141" ht="15" hidden="0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</x:row>
    <x:row r="142" ht="15" hidden="0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</x:row>
    <x:row r="143" ht="15" hidden="0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</x:row>
    <x:row r="144" ht="15" hidden="0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</x:row>
    <x:row r="145" ht="15" hidden="0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</x:row>
    <x:row r="146" ht="15" hidden="0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</x:row>
    <x:row r="147" ht="15" hidden="0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</x:row>
    <x:row r="148" ht="15" hidden="0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</x:row>
    <x:row r="149" ht="15" hidden="0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</x:row>
    <x:row r="150" ht="15" hidden="0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</x:row>
    <x:row r="151" ht="15" hidden="0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</x:row>
    <x:row r="152" ht="15" hidden="0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</x:row>
    <x:row r="153" ht="15" hidden="0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</x:row>
    <x:row r="154" ht="15" hidden="0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</x:row>
    <x:row r="155" ht="15" hidden="0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</x:row>
    <x:row r="156" ht="15" hidden="0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</x:row>
    <x:row r="157" ht="15" hidden="0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</x:row>
    <x:row r="158" ht="15" hidden="0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</x:row>
    <x:row r="159" ht="15" hidden="0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</x:row>
    <x:row r="160" ht="15" hidden="0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</x:row>
    <x:row r="161" ht="15" hidden="0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</x:row>
    <x:row r="162" ht="15" hidden="0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</x:row>
    <x:row r="163" ht="15" hidden="0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</x:row>
    <x:row r="164" ht="15" hidden="0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</x:row>
    <x:row r="165" ht="15" hidden="0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</x:row>
    <x:row r="166" ht="15" hidden="0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</x:row>
    <x:row r="167" ht="15" hidden="0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</x:row>
    <x:row r="168" ht="15" hidden="0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</x:row>
    <x:row r="169" ht="15" hidden="0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</x:row>
    <x:row r="170" ht="15" hidden="0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</x:row>
    <x:row r="171" ht="15" hidden="0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</x:row>
    <x:row r="172" ht="15" hidden="0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</x:row>
    <x:row r="173" ht="15" hidden="0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</x:row>
    <x:row r="174" ht="15" hidden="0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</x:row>
    <x:row r="175" ht="15" hidden="0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</x:row>
    <x:row r="176" ht="15" hidden="0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</x:row>
    <x:row r="177" ht="15" hidden="0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</x:row>
    <x:row r="178" ht="15" hidden="0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</x:row>
    <x:row r="179" ht="15" hidden="0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</x:row>
    <x:row r="180" ht="15" hidden="0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</x:row>
    <x:row r="181" ht="15" hidden="0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</x:row>
    <x:row r="182" ht="15" hidden="0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</x:row>
    <x:row r="183" ht="15" hidden="0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</x:row>
    <x:row r="184" ht="15" hidden="0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</x:row>
    <x:row r="185" ht="15" hidden="0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</x:row>
    <x:row r="186" ht="15" hidden="0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</x:row>
    <x:row r="187" ht="15" hidden="0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</x:row>
    <x:row r="188" ht="15" hidden="0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</x:row>
    <x:row r="189" ht="15" hidden="0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</x:row>
    <x:row r="190" ht="15" hidden="0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</x:row>
    <x:row r="191" ht="15" hidden="0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</x:row>
    <x:row r="192" ht="15" hidden="0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</x:row>
    <x:row r="193" ht="15" hidden="0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</x:row>
    <x:row r="194" ht="15" hidden="0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</x:row>
    <x:row r="195" ht="15" hidden="0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</x:row>
    <x:row r="196" ht="15" hidden="0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</x:row>
    <x:row r="197" ht="15" hidden="0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</x:row>
    <x:row r="198" ht="15" hidden="0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</x:row>
    <x:row r="199" ht="15" hidden="0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</x:row>
    <x:row r="200" ht="15" hidden="0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</x:row>
    <x:row r="201" ht="15" hidden="0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</x:row>
    <x:row r="202" ht="15" hidden="0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</x:row>
    <x:row r="203" ht="15" hidden="0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</x:row>
    <x:row r="204" ht="15" hidden="0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</x:row>
    <x:row r="205" ht="15" hidden="0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</x:row>
    <x:row r="206" ht="15" hidden="0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</x:row>
    <x:row r="207" ht="15" hidden="0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</x:row>
    <x:row r="208" ht="15" hidden="0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</x:row>
    <x:row r="209" ht="15" hidden="0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</x:row>
    <x:row r="210" ht="15" hidden="0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</x:row>
    <x:row r="211" ht="15" hidden="0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</x:row>
    <x:row r="212" ht="15" hidden="0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</x:row>
    <x:row r="213" ht="15" hidden="0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</x:row>
    <x:row r="214" ht="15" hidden="0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</x:row>
    <x:row r="215" ht="15" hidden="0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</x:row>
    <x:row r="216" ht="15" hidden="0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</x:row>
    <x:row r="217" ht="15" hidden="0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</x:row>
    <x:row r="218" ht="15" hidden="0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</x:row>
    <x:row r="219" ht="15" hidden="0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</x:row>
    <x:row r="220" ht="15" hidden="0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</x:row>
    <x:row r="221" ht="15" hidden="0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</x:row>
    <x:row r="222" ht="15" hidden="0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</x:row>
    <x:row r="223" ht="15" hidden="0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</x:row>
    <x:row r="224" ht="15" hidden="0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</x:row>
    <x:row r="225" ht="15" hidden="0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</x:row>
    <x:row r="226" ht="15" hidden="0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</x:row>
    <x:row r="227" ht="15" hidden="0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</x:row>
    <x:row r="228" ht="15" hidden="0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</x:row>
    <x:row r="229" ht="15" hidden="0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</x:row>
    <x:row r="230" ht="15" hidden="0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</x:row>
    <x:row r="231" ht="15" hidden="0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</x:row>
    <x:row r="232" ht="15" hidden="0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</x:row>
    <x:row r="233" ht="15" hidden="0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</x:row>
    <x:row r="234" ht="15" hidden="0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</x:row>
    <x:row r="235" ht="15" hidden="0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</x:row>
    <x:row r="236" ht="15" hidden="0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</x:row>
    <x:row r="237" ht="15" hidden="0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</x:row>
    <x:row r="238" ht="15" hidden="0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</x:row>
    <x:row r="239" ht="15" hidden="0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</x:row>
    <x:row r="240" ht="15" hidden="0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5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19.200000762939453" hidden="0" customHeight="1">
      <x:c r="A2" s="2" t="str">
        <x:v>Cleaned C-V source data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15" hidden="0" customHeight="1">
      <x:c r="A3" s="3" t="str">
        <x:v>Nonnumeric O/R rows removed; UsedForFit marks the reverse-depletion regression points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15" hidden="0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</x:row>
    <x:row r="5" ht="15" hidden="0" customHeight="1">
      <x:c r="A5" s="9" t="str">
        <x:v>File</x:v>
      </x:c>
      <x:c r="B5" s="9" t="str">
        <x:v>Voltage_V</x:v>
      </x:c>
      <x:c r="C5" s="9" t="str">
        <x:v>Frequency_Hz</x:v>
      </x:c>
      <x:c r="D5" s="9" t="str">
        <x:v>Capacitance_F</x:v>
      </x:c>
      <x:c r="E5" s="9" t="str">
        <x:v>Capacitance_pF</x:v>
      </x:c>
      <x:c r="F5" s="9" t="str">
        <x:v>DissipationFactor</x:v>
      </x:c>
      <x:c r="G5" s="9" t="str">
        <x:v>InvC2_Fminus2</x:v>
      </x:c>
      <x:c r="H5" s="9" t="str">
        <x:v>UsedForFit</x:v>
      </x:c>
      <x:c r="I5" s="1"/>
      <x:c r="J5" s="1"/>
      <x:c r="K5" s="1"/>
      <x:c r="L5" s="1"/>
      <x:c r="M5" s="1"/>
      <x:c r="N5" s="1"/>
      <x:c r="O5" s="1"/>
      <x:c r="P5" s="1"/>
      <x:c r="Q5" s="1"/>
    </x:row>
    <x:row r="6" ht="15" hidden="0" customHeight="1">
      <x:c r="A6" s="1" t="str">
        <x:v>1.csv</x:v>
      </x:c>
      <x:c r="B6" s="1" t="n">
        <x:v>-3</x:v>
      </x:c>
      <x:c r="C6" s="1" t="n">
        <x:v>10000</x:v>
      </x:c>
      <x:c r="D6" s="1" t="n">
        <x:v>3.8305908e-12</x:v>
      </x:c>
      <x:c r="E6" s="1" t="n">
        <x:v>3.8305908</x:v>
      </x:c>
      <x:c r="F6" s="1" t="n">
        <x:v>0.0056286412</x:v>
      </x:c>
      <x:c r="G6" s="1" t="n">
        <x:v>6.815041070704676e+22</x:v>
      </x:c>
      <x:c r="H6" s="11" t="b">
        <x:v>1</x:v>
      </x:c>
      <x:c r="I6" s="1"/>
      <x:c r="J6" s="1"/>
      <x:c r="K6" s="1"/>
      <x:c r="L6" s="1"/>
      <x:c r="M6" s="1"/>
      <x:c r="N6" s="1"/>
      <x:c r="O6" s="1"/>
      <x:c r="P6" s="1"/>
      <x:c r="Q6" s="1"/>
    </x:row>
    <x:row r="7" ht="15" hidden="0" customHeight="1">
      <x:c r="A7" s="1" t="str">
        <x:v>1.csv</x:v>
      </x:c>
      <x:c r="B7" s="1" t="n">
        <x:v>-2.9</x:v>
      </x:c>
      <x:c r="C7" s="1" t="n">
        <x:v>10000</x:v>
      </x:c>
      <x:c r="D7" s="1" t="n">
        <x:v>3.6611196e-12</x:v>
      </x:c>
      <x:c r="E7" s="1" t="n">
        <x:v>3.6611196</x:v>
      </x:c>
      <x:c r="F7" s="1" t="n">
        <x:v>0.012804164</x:v>
      </x:c>
      <x:c r="G7" s="1" t="n">
        <x:v>7.460572705472647e+22</x:v>
      </x:c>
      <x:c r="H7" s="11" t="b">
        <x:v>1</x:v>
      </x:c>
      <x:c r="I7" s="1"/>
      <x:c r="J7" s="1"/>
      <x:c r="K7" s="1"/>
      <x:c r="L7" s="1"/>
      <x:c r="M7" s="1"/>
      <x:c r="N7" s="1"/>
      <x:c r="O7" s="1"/>
      <x:c r="P7" s="1"/>
      <x:c r="Q7" s="1"/>
    </x:row>
    <x:row r="8" ht="15" hidden="0" customHeight="1">
      <x:c r="A8" s="1" t="str">
        <x:v>1.csv</x:v>
      </x:c>
      <x:c r="B8" s="1" t="n">
        <x:v>-2.8</x:v>
      </x:c>
      <x:c r="C8" s="1" t="n">
        <x:v>10000</x:v>
      </x:c>
      <x:c r="D8" s="1" t="n">
        <x:v>3.7214017e-12</x:v>
      </x:c>
      <x:c r="E8" s="1" t="n">
        <x:v>3.7214017</x:v>
      </x:c>
      <x:c r="F8" s="1" t="n">
        <x:v>0.010482007</x:v>
      </x:c>
      <x:c r="G8" s="1" t="n">
        <x:v>7.2208262774072336e+22</x:v>
      </x:c>
      <x:c r="H8" s="11" t="b">
        <x:v>1</x:v>
      </x:c>
      <x:c r="I8" s="1"/>
      <x:c r="J8" s="1"/>
      <x:c r="K8" s="1"/>
      <x:c r="L8" s="1"/>
      <x:c r="M8" s="1"/>
      <x:c r="N8" s="1"/>
      <x:c r="O8" s="1"/>
      <x:c r="P8" s="1"/>
      <x:c r="Q8" s="1"/>
    </x:row>
    <x:row r="9" ht="15" hidden="0" customHeight="1">
      <x:c r="A9" s="1" t="str">
        <x:v>1.csv</x:v>
      </x:c>
      <x:c r="B9" s="1" t="n">
        <x:v>-2.7</x:v>
      </x:c>
      <x:c r="C9" s="1" t="n">
        <x:v>10000</x:v>
      </x:c>
      <x:c r="D9" s="1" t="n">
        <x:v>3.7672279e-12</x:v>
      </x:c>
      <x:c r="E9" s="1" t="n">
        <x:v>3.7672279000000004</x:v>
      </x:c>
      <x:c r="F9" s="1" t="n">
        <x:v>0.01155633</x:v>
      </x:c>
      <x:c r="G9" s="1" t="n">
        <x:v>7.046220220305376e+22</x:v>
      </x:c>
      <x:c r="H9" s="11" t="b">
        <x:v>1</x:v>
      </x:c>
      <x:c r="I9" s="1"/>
      <x:c r="J9" s="1"/>
      <x:c r="K9" s="1"/>
      <x:c r="L9" s="1"/>
      <x:c r="M9" s="1"/>
      <x:c r="N9" s="1"/>
      <x:c r="O9" s="1"/>
      <x:c r="P9" s="1"/>
      <x:c r="Q9" s="1"/>
    </x:row>
    <x:row r="10" ht="15" hidden="0" customHeight="1">
      <x:c r="A10" s="1" t="str">
        <x:v>1.csv</x:v>
      </x:c>
      <x:c r="B10" s="1" t="n">
        <x:v>-2.6</x:v>
      </x:c>
      <x:c r="C10" s="1" t="n">
        <x:v>10000</x:v>
      </x:c>
      <x:c r="D10" s="1" t="n">
        <x:v>3.8319734e-12</x:v>
      </x:c>
      <x:c r="E10" s="1" t="n">
        <x:v>3.8319734</x:v>
      </x:c>
      <x:c r="F10" s="1" t="n">
        <x:v>0.0093424161</x:v>
      </x:c>
      <x:c r="G10" s="1" t="n">
        <x:v>6.8101241389012245e+22</x:v>
      </x:c>
      <x:c r="H10" s="11" t="b">
        <x:v>1</x:v>
      </x:c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15" hidden="0" customHeight="1">
      <x:c r="A11" s="1" t="str">
        <x:v>1.csv</x:v>
      </x:c>
      <x:c r="B11" s="1" t="n">
        <x:v>-2.5</x:v>
      </x:c>
      <x:c r="C11" s="1" t="n">
        <x:v>10000</x:v>
      </x:c>
      <x:c r="D11" s="1" t="n">
        <x:v>3.9086048e-12</x:v>
      </x:c>
      <x:c r="E11" s="1" t="n">
        <x:v>3.9086048</x:v>
      </x:c>
      <x:c r="F11" s="1" t="n">
        <x:v>0.0083335665</x:v>
      </x:c>
      <x:c r="G11" s="1" t="n">
        <x:v>6.545705741399281e+22</x:v>
      </x:c>
      <x:c r="H11" s="11" t="b">
        <x:v>1</x:v>
      </x:c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15" hidden="0" customHeight="1">
      <x:c r="A12" s="1" t="str">
        <x:v>1.csv</x:v>
      </x:c>
      <x:c r="B12" s="1" t="n">
        <x:v>-2.4</x:v>
      </x:c>
      <x:c r="C12" s="1" t="n">
        <x:v>10000</x:v>
      </x:c>
      <x:c r="D12" s="1" t="n">
        <x:v>3.9581642e-12</x:v>
      </x:c>
      <x:c r="E12" s="1" t="n">
        <x:v>3.9581642</x:v>
      </x:c>
      <x:c r="F12" s="1" t="n">
        <x:v>0.012592202</x:v>
      </x:c>
      <x:c r="G12" s="1" t="n">
        <x:v>6.382816911867844e+22</x:v>
      </x:c>
      <x:c r="H12" s="11" t="b">
        <x:v>1</x:v>
      </x:c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15" hidden="0" customHeight="1">
      <x:c r="A13" s="1" t="str">
        <x:v>1.csv</x:v>
      </x:c>
      <x:c r="B13" s="1" t="n">
        <x:v>-2.3</x:v>
      </x:c>
      <x:c r="C13" s="1" t="n">
        <x:v>10000</x:v>
      </x:c>
      <x:c r="D13" s="1" t="n">
        <x:v>4.010578e-12</x:v>
      </x:c>
      <x:c r="E13" s="1" t="n">
        <x:v>4.010578</x:v>
      </x:c>
      <x:c r="F13" s="1" t="n">
        <x:v>0.011162266</x:v>
      </x:c>
      <x:c r="G13" s="1" t="n">
        <x:v>6.217074415053355e+22</x:v>
      </x:c>
      <x:c r="H13" s="11" t="b">
        <x:v>1</x:v>
      </x:c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15" hidden="0" customHeight="1">
      <x:c r="A14" s="1" t="str">
        <x:v>1.csv</x:v>
      </x:c>
      <x:c r="B14" s="1" t="n">
        <x:v>-2.2</x:v>
      </x:c>
      <x:c r="C14" s="1" t="n">
        <x:v>10000</x:v>
      </x:c>
      <x:c r="D14" s="1" t="n">
        <x:v>4.0966966e-12</x:v>
      </x:c>
      <x:c r="E14" s="1" t="n">
        <x:v>4.0966966000000005</x:v>
      </x:c>
      <x:c r="F14" s="1" t="n">
        <x:v>0.0095998048</x:v>
      </x:c>
      <x:c r="G14" s="1" t="n">
        <x:v>5.9584376217801515e+22</x:v>
      </x:c>
      <x:c r="H14" s="11" t="b">
        <x:v>1</x:v>
      </x:c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15" hidden="0" customHeight="1">
      <x:c r="A15" s="1" t="str">
        <x:v>1.csv</x:v>
      </x:c>
      <x:c r="B15" s="1" t="n">
        <x:v>-2.1</x:v>
      </x:c>
      <x:c r="C15" s="1" t="n">
        <x:v>10000</x:v>
      </x:c>
      <x:c r="D15" s="1" t="n">
        <x:v>4.1586405e-12</x:v>
      </x:c>
      <x:c r="E15" s="1" t="n">
        <x:v>4.1586405</x:v>
      </x:c>
      <x:c r="F15" s="1" t="n">
        <x:v>0.012716652</x:v>
      </x:c>
      <x:c r="G15" s="1" t="n">
        <x:v>5.7822550290615436e+22</x:v>
      </x:c>
      <x:c r="H15" s="11" t="b">
        <x:v>1</x:v>
      </x:c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15" hidden="0" customHeight="1">
      <x:c r="A16" s="1" t="str">
        <x:v>1.csv</x:v>
      </x:c>
      <x:c r="B16" s="1" t="n">
        <x:v>-2</x:v>
      </x:c>
      <x:c r="C16" s="1" t="n">
        <x:v>10000</x:v>
      </x:c>
      <x:c r="D16" s="1" t="n">
        <x:v>4.2215793e-12</x:v>
      </x:c>
      <x:c r="E16" s="1" t="n">
        <x:v>4.2215793</x:v>
      </x:c>
      <x:c r="F16" s="1" t="n">
        <x:v>0.0088432989</x:v>
      </x:c>
      <x:c r="G16" s="1" t="n">
        <x:v>5.611126976868665e+22</x:v>
      </x:c>
      <x:c r="H16" s="11" t="b">
        <x:v>1</x:v>
      </x:c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15" hidden="0" customHeight="1">
      <x:c r="A17" s="1" t="str">
        <x:v>1.csv</x:v>
      </x:c>
      <x:c r="B17" s="1" t="n">
        <x:v>-1.9</x:v>
      </x:c>
      <x:c r="C17" s="1" t="n">
        <x:v>10000</x:v>
      </x:c>
      <x:c r="D17" s="1" t="n">
        <x:v>4.3297237e-12</x:v>
      </x:c>
      <x:c r="E17" s="1" t="n">
        <x:v>4.3297237</x:v>
      </x:c>
      <x:c r="F17" s="1" t="n">
        <x:v>0.0093578891</x:v>
      </x:c>
      <x:c r="G17" s="1" t="n">
        <x:v>5.334326992322427e+22</x:v>
      </x:c>
      <x:c r="H17" s="11" t="b">
        <x:v>1</x:v>
      </x:c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15" hidden="0" customHeight="1">
      <x:c r="A18" s="1" t="str">
        <x:v>1.csv</x:v>
      </x:c>
      <x:c r="B18" s="1" t="n">
        <x:v>-1.8</x:v>
      </x:c>
      <x:c r="C18" s="1" t="n">
        <x:v>10000</x:v>
      </x:c>
      <x:c r="D18" s="1" t="n">
        <x:v>4.4220639e-12</x:v>
      </x:c>
      <x:c r="E18" s="1" t="n">
        <x:v>4.4220639</x:v>
      </x:c>
      <x:c r="F18" s="1" t="n">
        <x:v>0.014146004</x:v>
      </x:c>
      <x:c r="G18" s="1" t="n">
        <x:v>5.113873396865024e+22</x:v>
      </x:c>
      <x:c r="H18" s="11" t="b">
        <x:v>1</x:v>
      </x:c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15" hidden="0" customHeight="1">
      <x:c r="A19" s="1" t="str">
        <x:v>1.csv</x:v>
      </x:c>
      <x:c r="B19" s="1" t="n">
        <x:v>-1.7</x:v>
      </x:c>
      <x:c r="C19" s="1" t="n">
        <x:v>10000</x:v>
      </x:c>
      <x:c r="D19" s="1" t="n">
        <x:v>4.4690133e-12</x:v>
      </x:c>
      <x:c r="E19" s="1" t="n">
        <x:v>4.4690133</x:v>
      </x:c>
      <x:c r="F19" s="1" t="n">
        <x:v>0.017144774</x:v>
      </x:c>
      <x:c r="G19" s="1" t="n">
        <x:v>5.006989788894559e+22</x:v>
      </x:c>
      <x:c r="H19" s="11" t="b">
        <x:v>1</x:v>
      </x:c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15" hidden="0" customHeight="1">
      <x:c r="A20" s="1" t="str">
        <x:v>1.csv</x:v>
      </x:c>
      <x:c r="B20" s="1" t="n">
        <x:v>-1.6</x:v>
      </x:c>
      <x:c r="C20" s="1" t="n">
        <x:v>10000</x:v>
      </x:c>
      <x:c r="D20" s="1" t="n">
        <x:v>4.5659002e-12</x:v>
      </x:c>
      <x:c r="E20" s="1" t="n">
        <x:v>4.565900200000001</x:v>
      </x:c>
      <x:c r="F20" s="1" t="n">
        <x:v>0.007945558</x:v>
      </x:c>
      <x:c r="G20" s="1" t="n">
        <x:v>4.796750956498041e+22</x:v>
      </x:c>
      <x:c r="H20" s="11" t="b">
        <x:v>1</x:v>
      </x:c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15" hidden="0" customHeight="1">
      <x:c r="A21" s="1" t="str">
        <x:v>1.csv</x:v>
      </x:c>
      <x:c r="B21" s="1" t="n">
        <x:v>-1.5</x:v>
      </x:c>
      <x:c r="C21" s="1" t="n">
        <x:v>10000</x:v>
      </x:c>
      <x:c r="D21" s="1" t="n">
        <x:v>4.7219473e-12</x:v>
      </x:c>
      <x:c r="E21" s="1" t="n">
        <x:v>4.7219473</x:v>
      </x:c>
      <x:c r="F21" s="1" t="n">
        <x:v>0.00026909139</x:v>
      </x:c>
      <x:c r="G21" s="1" t="n">
        <x:v>4.484951267715296e+22</x:v>
      </x:c>
      <x:c r="H21" s="11" t="b">
        <x:v>1</x:v>
      </x:c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15" hidden="0" customHeight="1">
      <x:c r="A22" s="1" t="str">
        <x:v>1.csv</x:v>
      </x:c>
      <x:c r="B22" s="1" t="n">
        <x:v>-1.4</x:v>
      </x:c>
      <x:c r="C22" s="1" t="n">
        <x:v>10000</x:v>
      </x:c>
      <x:c r="D22" s="1" t="n">
        <x:v>4.8006083e-12</x:v>
      </x:c>
      <x:c r="E22" s="1" t="n">
        <x:v>4.8006083</x:v>
      </x:c>
      <x:c r="F22" s="1" t="n">
        <x:v>0.0092163336</x:v>
      </x:c>
      <x:c r="G22" s="1" t="n">
        <x:v>4.339177907288939e+22</x:v>
      </x:c>
      <x:c r="H22" s="11" t="b">
        <x:v>1</x:v>
      </x:c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15" hidden="0" customHeight="1">
      <x:c r="A23" s="1" t="str">
        <x:v>1.csv</x:v>
      </x:c>
      <x:c r="B23" s="1" t="n">
        <x:v>-1.3</x:v>
      </x:c>
      <x:c r="C23" s="1" t="n">
        <x:v>10000</x:v>
      </x:c>
      <x:c r="D23" s="1" t="n">
        <x:v>4.9158833e-12</x:v>
      </x:c>
      <x:c r="E23" s="1" t="n">
        <x:v>4.9158833</x:v>
      </x:c>
      <x:c r="F23" s="1" t="n">
        <x:v>0.0096376425</x:v>
      </x:c>
      <x:c r="G23" s="1" t="n">
        <x:v>4.138060835025713e+22</x:v>
      </x:c>
      <x:c r="H23" s="11" t="b">
        <x:v>1</x:v>
      </x:c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15" hidden="0" customHeight="1">
      <x:c r="A24" s="1" t="str">
        <x:v>1.csv</x:v>
      </x:c>
      <x:c r="B24" s="1" t="n">
        <x:v>-1.2</x:v>
      </x:c>
      <x:c r="C24" s="1" t="n">
        <x:v>10000</x:v>
      </x:c>
      <x:c r="D24" s="1" t="n">
        <x:v>5.0545363e-12</x:v>
      </x:c>
      <x:c r="E24" s="1" t="n">
        <x:v>5.0545363000000005</x:v>
      </x:c>
      <x:c r="F24" s="1" t="n">
        <x:v>0.011239733</x:v>
      </x:c>
      <x:c r="G24" s="1" t="n">
        <x:v>3.9141490573647804e+22</x:v>
      </x:c>
      <x:c r="H24" s="11" t="b">
        <x:v>1</x:v>
      </x:c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15" hidden="0" customHeight="1">
      <x:c r="A25" s="1" t="str">
        <x:v>1.csv</x:v>
      </x:c>
      <x:c r="B25" s="1" t="n">
        <x:v>-1.1</x:v>
      </x:c>
      <x:c r="C25" s="1" t="n">
        <x:v>10000</x:v>
      </x:c>
      <x:c r="D25" s="1" t="n">
        <x:v>5.1812843e-12</x:v>
      </x:c>
      <x:c r="E25" s="1" t="n">
        <x:v>5.1812843</x:v>
      </x:c>
      <x:c r="F25" s="1" t="n">
        <x:v>0.011710239</x:v>
      </x:c>
      <x:c r="G25" s="1" t="n">
        <x:v>3.7249903684632445e+22</x:v>
      </x:c>
      <x:c r="H25" s="11" t="b">
        <x:v>1</x:v>
      </x:c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15" hidden="0" customHeight="1">
      <x:c r="A26" s="1" t="str">
        <x:v>1.csv</x:v>
      </x:c>
      <x:c r="B26" s="1" t="n">
        <x:v>-1</x:v>
      </x:c>
      <x:c r="C26" s="1" t="n">
        <x:v>10000</x:v>
      </x:c>
      <x:c r="D26" s="1" t="n">
        <x:v>5.3344821e-12</x:v>
      </x:c>
      <x:c r="E26" s="1" t="n">
        <x:v>5.3344821</x:v>
      </x:c>
      <x:c r="F26" s="1" t="n">
        <x:v>0.010883133</x:v>
      </x:c>
      <x:c r="G26" s="1" t="n">
        <x:v>3.514111001871472e+22</x:v>
      </x:c>
      <x:c r="H26" s="11" t="b">
        <x:v>1</x:v>
      </x:c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15" hidden="0" customHeight="1">
      <x:c r="A27" s="1" t="str">
        <x:v>1.csv</x:v>
      </x:c>
      <x:c r="B27" s="1" t="n">
        <x:v>-0.9</x:v>
      </x:c>
      <x:c r="C27" s="1" t="n">
        <x:v>10000</x:v>
      </x:c>
      <x:c r="D27" s="1" t="n">
        <x:v>5.5032724e-12</x:v>
      </x:c>
      <x:c r="E27" s="1" t="n">
        <x:v>5.5032724</x:v>
      </x:c>
      <x:c r="F27" s="1" t="n">
        <x:v>0.0087128038</x:v>
      </x:c>
      <x:c r="G27" s="1" t="n">
        <x:v>3.3018548678738915e+22</x:v>
      </x:c>
      <x:c r="H27" s="11" t="b">
        <x:v>1</x:v>
      </x:c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15" hidden="0" customHeight="1">
      <x:c r="A28" s="1" t="str">
        <x:v>1.csv</x:v>
      </x:c>
      <x:c r="B28" s="1" t="n">
        <x:v>-0.8</x:v>
      </x:c>
      <x:c r="C28" s="1" t="n">
        <x:v>10000</x:v>
      </x:c>
      <x:c r="D28" s="1" t="n">
        <x:v>5.625959e-12</x:v>
      </x:c>
      <x:c r="E28" s="1" t="n">
        <x:v>5.625959</x:v>
      </x:c>
      <x:c r="F28" s="1" t="n">
        <x:v>0.0036088719</x:v>
      </x:c>
      <x:c r="G28" s="1" t="n">
        <x:v>3.1594164445291076e+22</x:v>
      </x:c>
      <x:c r="H28" s="11" t="b">
        <x:v>1</x:v>
      </x:c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15" hidden="0" customHeight="1">
      <x:c r="A29" s="1" t="str">
        <x:v>1.csv</x:v>
      </x:c>
      <x:c r="B29" s="1" t="n">
        <x:v>-0.7</x:v>
      </x:c>
      <x:c r="C29" s="1" t="n">
        <x:v>10000</x:v>
      </x:c>
      <x:c r="D29" s="1" t="n">
        <x:v>5.9007587e-12</x:v>
      </x:c>
      <x:c r="E29" s="1" t="n">
        <x:v>5.9007587</x:v>
      </x:c>
      <x:c r="F29" s="1" t="n">
        <x:v>0.010317995</x:v>
      </x:c>
      <x:c r="G29" s="1" t="n">
        <x:v>2.8719990323454943e+22</x:v>
      </x:c>
      <x:c r="H29" s="11" t="b">
        <x:v>1</x:v>
      </x:c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15" hidden="0" customHeight="1">
      <x:c r="A30" s="1" t="str">
        <x:v>1.csv</x:v>
      </x:c>
      <x:c r="B30" s="1" t="n">
        <x:v>-0.6</x:v>
      </x:c>
      <x:c r="C30" s="1" t="n">
        <x:v>10000</x:v>
      </x:c>
      <x:c r="D30" s="1" t="n">
        <x:v>6.1210829e-12</x:v>
      </x:c>
      <x:c r="E30" s="1" t="n">
        <x:v>6.121082899999999</x:v>
      </x:c>
      <x:c r="F30" s="1" t="n">
        <x:v>0.0062213837</x:v>
      </x:c>
      <x:c r="G30" s="1" t="n">
        <x:v>2.6689686792925943e+22</x:v>
      </x:c>
      <x:c r="H30" s="11" t="b">
        <x:v>1</x:v>
      </x:c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15" hidden="0" customHeight="1">
      <x:c r="A31" s="1" t="str">
        <x:v>1.csv</x:v>
      </x:c>
      <x:c r="B31" s="1" t="n">
        <x:v>-0.5</x:v>
      </x:c>
      <x:c r="C31" s="1" t="n">
        <x:v>10000</x:v>
      </x:c>
      <x:c r="D31" s="1" t="n">
        <x:v>6.3881527e-12</x:v>
      </x:c>
      <x:c r="E31" s="1" t="n">
        <x:v>6.3881527</x:v>
      </x:c>
      <x:c r="F31" s="1" t="n">
        <x:v>0.011618704</x:v>
      </x:c>
      <x:c r="G31" s="1" t="n">
        <x:v>2.4504701827320744e+22</x:v>
      </x:c>
      <x:c r="H31" s="11" t="b">
        <x:v>1</x:v>
      </x:c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15" hidden="0" customHeight="1">
      <x:c r="A32" s="1" t="str">
        <x:v>1.csv</x:v>
      </x:c>
      <x:c r="B32" s="1" t="n">
        <x:v>-0.4</x:v>
      </x:c>
      <x:c r="C32" s="1" t="n">
        <x:v>10000</x:v>
      </x:c>
      <x:c r="D32" s="1" t="n">
        <x:v>6.6911534e-12</x:v>
      </x:c>
      <x:c r="E32" s="1" t="n">
        <x:v>6.6911534</x:v>
      </x:c>
      <x:c r="F32" s="1" t="n">
        <x:v>0.01205974</x:v>
      </x:c>
      <x:c r="G32" s="1" t="n">
        <x:v>2.2335620753319168e+22</x:v>
      </x:c>
      <x:c r="H32" s="11" t="b">
        <x:v>1</x:v>
      </x:c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15" hidden="0" customHeight="1">
      <x:c r="A33" s="1" t="str">
        <x:v>1.csv</x:v>
      </x:c>
      <x:c r="B33" s="1" t="n">
        <x:v>-0.3</x:v>
      </x:c>
      <x:c r="C33" s="1" t="n">
        <x:v>10000</x:v>
      </x:c>
      <x:c r="D33" s="1" t="n">
        <x:v>7.0340449e-12</x:v>
      </x:c>
      <x:c r="E33" s="1" t="n">
        <x:v>7.0340449000000005</x:v>
      </x:c>
      <x:c r="F33" s="1" t="n">
        <x:v>0.012839868</x:v>
      </x:c>
      <x:c r="G33" s="1" t="n">
        <x:v>2.021108960991668e+22</x:v>
      </x:c>
      <x:c r="H33" s="11" t="b">
        <x:v>1</x:v>
      </x:c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15" hidden="0" customHeight="1">
      <x:c r="A34" s="1" t="str">
        <x:v>1.csv</x:v>
      </x:c>
      <x:c r="B34" s="1" t="n">
        <x:v>-0.2</x:v>
      </x:c>
      <x:c r="C34" s="1" t="n">
        <x:v>10000</x:v>
      </x:c>
      <x:c r="D34" s="1" t="n">
        <x:v>7.4857881e-12</x:v>
      </x:c>
      <x:c r="E34" s="1" t="n">
        <x:v>7.4857881</x:v>
      </x:c>
      <x:c r="F34" s="1" t="n">
        <x:v>0.012763375</x:v>
      </x:c>
      <x:c r="G34" s="1" t="n">
        <x:v>1.7845344701272084e+22</x:v>
      </x:c>
      <x:c r="H34" s="11" t="b">
        <x:v>1</x:v>
      </x:c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15" hidden="0" customHeight="1">
      <x:c r="A35" s="1" t="str">
        <x:v>1.csv</x:v>
      </x:c>
      <x:c r="B35" s="1" t="n">
        <x:v>-0.1</x:v>
      </x:c>
      <x:c r="C35" s="1" t="n">
        <x:v>10000</x:v>
      </x:c>
      <x:c r="D35" s="1" t="n">
        <x:v>7.9907826e-12</x:v>
      </x:c>
      <x:c r="E35" s="1" t="n">
        <x:v>7.990782600000001</x:v>
      </x:c>
      <x:c r="F35" s="1" t="n">
        <x:v>0.015510206</x:v>
      </x:c>
      <x:c r="G35" s="1" t="n">
        <x:v>1.566106779138434e+22</x:v>
      </x:c>
      <x:c r="H35" s="11" t="b">
        <x:v>1</x:v>
      </x:c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15" hidden="0" customHeight="1">
      <x:c r="A36" s="1" t="str">
        <x:v>1.csv</x:v>
      </x:c>
      <x:c r="B36" s="1" t="n">
        <x:v>0</x:v>
      </x:c>
      <x:c r="C36" s="1" t="n">
        <x:v>10000</x:v>
      </x:c>
      <x:c r="D36" s="1" t="n">
        <x:v>8.604638e-12</x:v>
      </x:c>
      <x:c r="E36" s="1" t="n">
        <x:v>8.604638</x:v>
      </x:c>
      <x:c r="F36" s="1" t="n">
        <x:v>0.039501411</x:v>
      </x:c>
      <x:c r="G36" s="1" t="n">
        <x:v>1.350625023340775e+22</x:v>
      </x:c>
      <x:c r="H36" s="11" t="b">
        <x:v>1</x:v>
      </x:c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15" hidden="0" customHeight="1">
      <x:c r="A37" s="1" t="str">
        <x:v>1.csv</x:v>
      </x:c>
      <x:c r="B37" s="1" t="n">
        <x:v>0.1</x:v>
      </x:c>
      <x:c r="C37" s="1" t="n">
        <x:v>10000</x:v>
      </x:c>
      <x:c r="D37" s="1" t="n">
        <x:v>9.3386645e-12</x:v>
      </x:c>
      <x:c r="E37" s="1" t="n">
        <x:v>9.3386645</x:v>
      </x:c>
      <x:c r="F37" s="1" t="n">
        <x:v>0.61452562</x:v>
      </x:c>
      <x:c r="G37" s="1" t="n">
        <x:v>1.1466488860645668e+22</x:v>
      </x:c>
      <x:c r="H37" s="11" t="b">
        <x:v>0</x:v>
      </x:c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15" hidden="0" customHeight="1">
      <x:c r="A38" s="1" t="str">
        <x:v>1.csv</x:v>
      </x:c>
      <x:c r="B38" s="1" t="n">
        <x:v>0.2</x:v>
      </x:c>
      <x:c r="C38" s="1" t="n">
        <x:v>10000</x:v>
      </x:c>
      <x:c r="D38" s="1" t="n">
        <x:v>1.5106617e-11</x:v>
      </x:c>
      <x:c r="E38" s="1" t="n">
        <x:v>15.106616999999998</x:v>
      </x:c>
      <x:c r="F38" s="1" t="n">
        <x:v>4.1699652</x:v>
      </x:c>
      <x:c r="G38" s="1" t="n">
        <x:v>4.381931283327871e+21</x:v>
      </x:c>
      <x:c r="H38" s="11" t="b">
        <x:v>0</x:v>
      </x:c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15" hidden="0" customHeight="1">
      <x:c r="A39" s="1" t="str">
        <x:v>1.csv</x:v>
      </x:c>
      <x:c r="B39" s="1" t="n">
        <x:v>0.4</x:v>
      </x:c>
      <x:c r="C39" s="1" t="n">
        <x:v>10000</x:v>
      </x:c>
      <x:c r="D39" s="1" t="n">
        <x:v>1.8384589e-10</x:v>
      </x:c>
      <x:c r="E39" s="1" t="n">
        <x:v>183.84589</x:v>
      </x:c>
      <x:c r="F39" s="1" t="n">
        <x:v>1.5534646</x:v>
      </x:c>
      <x:c r="G39" s="1" t="n">
        <x:v>29586401687740432000</x:v>
      </x:c>
      <x:c r="H39" s="11" t="b">
        <x:v>0</x:v>
      </x:c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15" hidden="0" customHeight="1">
      <x:c r="A40" s="1" t="str">
        <x:v>1.csv</x:v>
      </x:c>
      <x:c r="B40" s="1" t="n">
        <x:v>0.5</x:v>
      </x:c>
      <x:c r="C40" s="1" t="n">
        <x:v>10000</x:v>
      </x:c>
      <x:c r="D40" s="1" t="n">
        <x:v>2.4226612e-10</x:v>
      </x:c>
      <x:c r="E40" s="1" t="n">
        <x:v>242.26612000000003</x:v>
      </x:c>
      <x:c r="F40" s="1" t="n">
        <x:v>1.2791502</x:v>
      </x:c>
      <x:c r="G40" s="1" t="n">
        <x:v>17037843789079212000</x:v>
      </x:c>
      <x:c r="H40" s="11" t="b">
        <x:v>0</x:v>
      </x:c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15" hidden="0" customHeight="1">
      <x:c r="A41" s="1" t="str">
        <x:v>1.csv</x:v>
      </x:c>
      <x:c r="B41" s="1" t="n">
        <x:v>0.6</x:v>
      </x:c>
      <x:c r="C41" s="1" t="n">
        <x:v>10000</x:v>
      </x:c>
      <x:c r="D41" s="1" t="n">
        <x:v>2.7388316e-10</x:v>
      </x:c>
      <x:c r="E41" s="1" t="n">
        <x:v>273.88316</x:v>
      </x:c>
      <x:c r="F41" s="1" t="n">
        <x:v>1.1668779</x:v>
      </x:c>
      <x:c r="G41" s="1" t="n">
        <x:v>13331202948163084000</x:v>
      </x:c>
      <x:c r="H41" s="11" t="b">
        <x:v>0</x:v>
      </x:c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15" hidden="0" customHeight="1">
      <x:c r="A42" s="1" t="str">
        <x:v>1.csv</x:v>
      </x:c>
      <x:c r="B42" s="1" t="n">
        <x:v>0.7</x:v>
      </x:c>
      <x:c r="C42" s="1" t="n">
        <x:v>10000</x:v>
      </x:c>
      <x:c r="D42" s="1" t="n">
        <x:v>2.9280352e-10</x:v>
      </x:c>
      <x:c r="E42" s="1" t="n">
        <x:v>292.80352</x:v>
      </x:c>
      <x:c r="F42" s="1" t="n">
        <x:v>1.1008856</x:v>
      </x:c>
      <x:c r="G42" s="1" t="n">
        <x:v>11663997375044340000</x:v>
      </x:c>
      <x:c r="H42" s="11" t="b">
        <x:v>0</x:v>
      </x:c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15" hidden="0" customHeight="1">
      <x:c r="A43" s="1" t="str">
        <x:v>1.csv</x:v>
      </x:c>
      <x:c r="B43" s="1" t="n">
        <x:v>0.8</x:v>
      </x:c>
      <x:c r="C43" s="1" t="n">
        <x:v>10000</x:v>
      </x:c>
      <x:c r="D43" s="1" t="n">
        <x:v>3.0401006e-10</x:v>
      </x:c>
      <x:c r="E43" s="1" t="n">
        <x:v>304.01005999999995</x:v>
      </x:c>
      <x:c r="F43" s="1" t="n">
        <x:v>1.0567431</x:v>
      </x:c>
      <x:c r="G43" s="1" t="n">
        <x:v>10819920999335516000</x:v>
      </x:c>
      <x:c r="H43" s="11" t="b">
        <x:v>0</x:v>
      </x:c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15" hidden="0" customHeight="1">
      <x:c r="A44" s="1" t="str">
        <x:v>1.csv</x:v>
      </x:c>
      <x:c r="B44" s="1" t="n">
        <x:v>0.9</x:v>
      </x:c>
      <x:c r="C44" s="1" t="n">
        <x:v>10000</x:v>
      </x:c>
      <x:c r="D44" s="1" t="n">
        <x:v>3.1239191e-10</x:v>
      </x:c>
      <x:c r="E44" s="1" t="n">
        <x:v>312.39191</x:v>
      </x:c>
      <x:c r="F44" s="1" t="n">
        <x:v>1.025431</x:v>
      </x:c>
      <x:c r="G44" s="1" t="n">
        <x:v>10247087463230702000</x:v>
      </x:c>
      <x:c r="H44" s="11" t="b">
        <x:v>0</x:v>
      </x:c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15" hidden="0" customHeight="1">
      <x:c r="A45" s="1" t="str">
        <x:v>1.csv</x:v>
      </x:c>
      <x:c r="B45" s="1" t="n">
        <x:v>1</x:v>
      </x:c>
      <x:c r="C45" s="1" t="n">
        <x:v>10000</x:v>
      </x:c>
      <x:c r="D45" s="1" t="n">
        <x:v>3.1833521e-10</x:v>
      </x:c>
      <x:c r="E45" s="1" t="n">
        <x:v>318.33521</x:v>
      </x:c>
      <x:c r="F45" s="1" t="n">
        <x:v>0.9945379</x:v>
      </x:c>
      <x:c r="G45" s="1" t="n">
        <x:v>9868034193969588000</x:v>
      </x:c>
      <x:c r="H45" s="11" t="b">
        <x:v>0</x:v>
      </x:c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15" hidden="0" customHeight="1">
      <x:c r="A46" s="1" t="str">
        <x:v>1.csv</x:v>
      </x:c>
      <x:c r="B46" s="1" t="n">
        <x:v>1.1</x:v>
      </x:c>
      <x:c r="C46" s="1" t="n">
        <x:v>10000</x:v>
      </x:c>
      <x:c r="D46" s="1" t="n">
        <x:v>3.2261137e-10</x:v>
      </x:c>
      <x:c r="E46" s="1" t="n">
        <x:v>322.61136999999997</x:v>
      </x:c>
      <x:c r="F46" s="1" t="n">
        <x:v>0.95897186</x:v>
      </x:c>
      <x:c r="G46" s="1" t="n">
        <x:v>9608169614172291000</x:v>
      </x:c>
      <x:c r="H46" s="11" t="b">
        <x:v>0</x:v>
      </x:c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15" hidden="0" customHeight="1">
      <x:c r="A47" s="1" t="str">
        <x:v>1.csv</x:v>
      </x:c>
      <x:c r="B47" s="1" t="n">
        <x:v>1.2</x:v>
      </x:c>
      <x:c r="C47" s="1" t="n">
        <x:v>10000</x:v>
      </x:c>
      <x:c r="D47" s="1" t="n">
        <x:v>3.2635913e-10</x:v>
      </x:c>
      <x:c r="E47" s="1" t="n">
        <x:v>326.35913</x:v>
      </x:c>
      <x:c r="F47" s="1" t="n">
        <x:v>0.92338253</x:v>
      </x:c>
      <x:c r="G47" s="1" t="n">
        <x:v>9388764950355315000</x:v>
      </x:c>
      <x:c r="H47" s="11" t="b">
        <x:v>0</x:v>
      </x:c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15" hidden="0" customHeight="1">
      <x:c r="A48" s="1" t="str">
        <x:v>1.csv</x:v>
      </x:c>
      <x:c r="B48" s="1" t="n">
        <x:v>1.3</x:v>
      </x:c>
      <x:c r="C48" s="1" t="n">
        <x:v>10000</x:v>
      </x:c>
      <x:c r="D48" s="1" t="n">
        <x:v>3.2985039e-10</x:v>
      </x:c>
      <x:c r="E48" s="1" t="n">
        <x:v>329.85039</x:v>
      </x:c>
      <x:c r="F48" s="1" t="n">
        <x:v>0.89363003</x:v>
      </x:c>
      <x:c r="G48" s="1" t="n">
        <x:v>9191068358690853000</x:v>
      </x:c>
      <x:c r="H48" s="11" t="b">
        <x:v>0</x:v>
      </x:c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15" hidden="0" customHeight="1">
      <x:c r="A49" s="1" t="str">
        <x:v>1.csv</x:v>
      </x:c>
      <x:c r="B49" s="1" t="n">
        <x:v>1.4</x:v>
      </x:c>
      <x:c r="C49" s="1" t="n">
        <x:v>10000</x:v>
      </x:c>
      <x:c r="D49" s="1" t="n">
        <x:v>3.3218319e-10</x:v>
      </x:c>
      <x:c r="E49" s="1" t="n">
        <x:v>332.18318999999997</x:v>
      </x:c>
      <x:c r="F49" s="1" t="n">
        <x:v>0.8758337</x:v>
      </x:c>
      <x:c r="G49" s="1" t="n">
        <x:v>9062430672862137000</x:v>
      </x:c>
      <x:c r="H49" s="11" t="b">
        <x:v>0</x:v>
      </x:c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15" hidden="0" customHeight="1">
      <x:c r="A50" s="1" t="str">
        <x:v>1.csv</x:v>
      </x:c>
      <x:c r="B50" s="1" t="n">
        <x:v>1.5</x:v>
      </x:c>
      <x:c r="C50" s="1" t="n">
        <x:v>10000</x:v>
      </x:c>
      <x:c r="D50" s="1" t="n">
        <x:v>3.3391683e-10</x:v>
      </x:c>
      <x:c r="E50" s="1" t="n">
        <x:v>333.91683</x:v>
      </x:c>
      <x:c r="F50" s="1" t="n">
        <x:v>0.86757446</x:v>
      </x:c>
      <x:c r="G50" s="1" t="n">
        <x:v>8968573721133508000</x:v>
      </x:c>
      <x:c r="H50" s="11" t="b">
        <x:v>0</x:v>
      </x:c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15" hidden="0" customHeight="1">
      <x:c r="A51" s="1" t="str">
        <x:v>1.csv</x:v>
      </x:c>
      <x:c r="B51" s="1" t="n">
        <x:v>1.6</x:v>
      </x:c>
      <x:c r="C51" s="1" t="n">
        <x:v>10000</x:v>
      </x:c>
      <x:c r="D51" s="1" t="n">
        <x:v>3.3480248e-10</x:v>
      </x:c>
      <x:c r="E51" s="1" t="n">
        <x:v>334.80248</x:v>
      </x:c>
      <x:c r="F51" s="1" t="n">
        <x:v>0.86033696</x:v>
      </x:c>
      <x:c r="G51" s="1" t="n">
        <x:v>8921187503923530000</x:v>
      </x:c>
      <x:c r="H51" s="11" t="b">
        <x:v>0</x:v>
      </x:c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15" hidden="0" customHeight="1">
      <x:c r="A52" s="1" t="str">
        <x:v>2.csv</x:v>
      </x:c>
      <x:c r="B52" s="1" t="n">
        <x:v>-3</x:v>
      </x:c>
      <x:c r="C52" s="1" t="n">
        <x:v>10000</x:v>
      </x:c>
      <x:c r="D52" s="1" t="n">
        <x:v>3.6082977e-12</x:v>
      </x:c>
      <x:c r="E52" s="1" t="n">
        <x:v>3.6082977</x:v>
      </x:c>
      <x:c r="F52" s="1" t="n">
        <x:v>0.0031631791</x:v>
      </x:c>
      <x:c r="G52" s="1" t="n">
        <x:v>7.680602282014979e+22</x:v>
      </x:c>
      <x:c r="H52" s="11" t="b">
        <x:v>1</x:v>
      </x:c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15" hidden="0" customHeight="1">
      <x:c r="A53" s="1" t="str">
        <x:v>2.csv</x:v>
      </x:c>
      <x:c r="B53" s="1" t="n">
        <x:v>-2.9</x:v>
      </x:c>
      <x:c r="C53" s="1" t="n">
        <x:v>10000</x:v>
      </x:c>
      <x:c r="D53" s="1" t="n">
        <x:v>3.6660549e-12</x:v>
      </x:c>
      <x:c r="E53" s="1" t="n">
        <x:v>3.6660549000000002</x:v>
      </x:c>
      <x:c r="F53" s="1" t="n">
        <x:v>0.0077003389</x:v>
      </x:c>
      <x:c r="G53" s="1" t="n">
        <x:v>7.440499148726454e+22</x:v>
      </x:c>
      <x:c r="H53" s="11" t="b">
        <x:v>1</x:v>
      </x:c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15" hidden="0" customHeight="1">
      <x:c r="A54" s="1" t="str">
        <x:v>2.csv</x:v>
      </x:c>
      <x:c r="B54" s="1" t="n">
        <x:v>-2.8</x:v>
      </x:c>
      <x:c r="C54" s="1" t="n">
        <x:v>10000</x:v>
      </x:c>
      <x:c r="D54" s="1" t="n">
        <x:v>3.6945066e-12</x:v>
      </x:c>
      <x:c r="E54" s="1" t="n">
        <x:v>3.6945066000000004</x:v>
      </x:c>
      <x:c r="F54" s="1" t="n">
        <x:v>0.010659353</x:v>
      </x:c>
      <x:c r="G54" s="1" t="n">
        <x:v>7.326340624888687e+22</x:v>
      </x:c>
      <x:c r="H54" s="11" t="b">
        <x:v>1</x:v>
      </x:c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15" hidden="0" customHeight="1">
      <x:c r="A55" s="1" t="str">
        <x:v>2.csv</x:v>
      </x:c>
      <x:c r="B55" s="1" t="n">
        <x:v>-2.7</x:v>
      </x:c>
      <x:c r="C55" s="1" t="n">
        <x:v>10000</x:v>
      </x:c>
      <x:c r="D55" s="1" t="n">
        <x:v>3.7369427e-12</x:v>
      </x:c>
      <x:c r="E55" s="1" t="n">
        <x:v>3.7369427</x:v>
      </x:c>
      <x:c r="F55" s="1" t="n">
        <x:v>0.0084943258</x:v>
      </x:c>
      <x:c r="G55" s="1" t="n">
        <x:v>7.1608919807215045e+22</x:v>
      </x:c>
      <x:c r="H55" s="11" t="b">
        <x:v>1</x:v>
      </x:c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15" hidden="0" customHeight="1">
      <x:c r="A56" s="1" t="str">
        <x:v>2.csv</x:v>
      </x:c>
      <x:c r="B56" s="1" t="n">
        <x:v>-2.6</x:v>
      </x:c>
      <x:c r="C56" s="1" t="n">
        <x:v>10000</x:v>
      </x:c>
      <x:c r="D56" s="1" t="n">
        <x:v>3.8181546e-12</x:v>
      </x:c>
      <x:c r="E56" s="1" t="n">
        <x:v>3.8181545999999997</x:v>
      </x:c>
      <x:c r="F56" s="1" t="n">
        <x:v>0.0020234782</x:v>
      </x:c>
      <x:c r="G56" s="1" t="n">
        <x:v>6.859508227479156e+22</x:v>
      </x:c>
      <x:c r="H56" s="11" t="b">
        <x:v>1</x:v>
      </x:c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15" hidden="0" customHeight="1">
      <x:c r="A57" s="1" t="str">
        <x:v>2.csv</x:v>
      </x:c>
      <x:c r="B57" s="1" t="n">
        <x:v>-2.5</x:v>
      </x:c>
      <x:c r="C57" s="1" t="n">
        <x:v>10000</x:v>
      </x:c>
      <x:c r="D57" s="1" t="n">
        <x:v>3.864071e-12</x:v>
      </x:c>
      <x:c r="E57" s="1" t="n">
        <x:v>3.8640710000000005</x:v>
      </x:c>
      <x:c r="F57" s="1" t="n">
        <x:v>0.0074096209</x:v>
      </x:c>
      <x:c r="G57" s="1" t="n">
        <x:v>6.6974550043780645e+22</x:v>
      </x:c>
      <x:c r="H57" s="11" t="b">
        <x:v>1</x:v>
      </x:c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15" hidden="0" customHeight="1">
      <x:c r="A58" s="1" t="str">
        <x:v>2.csv</x:v>
      </x:c>
      <x:c r="B58" s="1" t="n">
        <x:v>-2.4</x:v>
      </x:c>
      <x:c r="C58" s="1" t="n">
        <x:v>10000</x:v>
      </x:c>
      <x:c r="D58" s="1" t="n">
        <x:v>3.9130635e-12</x:v>
      </x:c>
      <x:c r="E58" s="1" t="n">
        <x:v>3.9130635000000002</x:v>
      </x:c>
      <x:c r="F58" s="1" t="n">
        <x:v>0.0061337155</x:v>
      </x:c>
      <x:c r="G58" s="1" t="n">
        <x:v>6.530797365533511e+22</x:v>
      </x:c>
      <x:c r="H58" s="11" t="b">
        <x:v>1</x:v>
      </x:c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15" hidden="0" customHeight="1">
      <x:c r="A59" s="1" t="str">
        <x:v>2.csv</x:v>
      </x:c>
      <x:c r="B59" s="1" t="n">
        <x:v>-2.3</x:v>
      </x:c>
      <x:c r="C59" s="1" t="n">
        <x:v>10000</x:v>
      </x:c>
      <x:c r="D59" s="1" t="n">
        <x:v>3.9812767e-12</x:v>
      </x:c>
      <x:c r="E59" s="1" t="n">
        <x:v>3.9812767</x:v>
      </x:c>
      <x:c r="F59" s="1" t="n">
        <x:v>0.0087434648</x:v>
      </x:c>
      <x:c r="G59" s="1" t="n">
        <x:v>6.30892370632291e+22</x:v>
      </x:c>
      <x:c r="H59" s="11" t="b">
        <x:v>1</x:v>
      </x:c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15" hidden="0" customHeight="1">
      <x:c r="A60" s="1" t="str">
        <x:v>2.csv</x:v>
      </x:c>
      <x:c r="B60" s="1" t="n">
        <x:v>-2.2</x:v>
      </x:c>
      <x:c r="C60" s="1" t="n">
        <x:v>10000</x:v>
      </x:c>
      <x:c r="D60" s="1" t="n">
        <x:v>4.0458388e-12</x:v>
      </x:c>
      <x:c r="E60" s="1" t="n">
        <x:v>4.0458388</x:v>
      </x:c>
      <x:c r="F60" s="1" t="n">
        <x:v>0.0084091983</x:v>
      </x:c>
      <x:c r="G60" s="1" t="n">
        <x:v>6.109178996657847e+22</x:v>
      </x:c>
      <x:c r="H60" s="11" t="b">
        <x:v>1</x:v>
      </x:c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15" hidden="0" customHeight="1">
      <x:c r="A61" s="1" t="str">
        <x:v>2.csv</x:v>
      </x:c>
      <x:c r="B61" s="1" t="n">
        <x:v>-2.1</x:v>
      </x:c>
      <x:c r="C61" s="1" t="n">
        <x:v>10000</x:v>
      </x:c>
      <x:c r="D61" s="1" t="n">
        <x:v>4.1261101e-12</x:v>
      </x:c>
      <x:c r="E61" s="1" t="n">
        <x:v>4.1261101</x:v>
      </x:c>
      <x:c r="F61" s="1" t="n">
        <x:v>0.0062292278</x:v>
      </x:c>
      <x:c r="G61" s="1" t="n">
        <x:v>5.873789454621443e+22</x:v>
      </x:c>
      <x:c r="H61" s="11" t="b">
        <x:v>1</x:v>
      </x:c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15" hidden="0" customHeight="1">
      <x:c r="A62" s="1" t="str">
        <x:v>2.csv</x:v>
      </x:c>
      <x:c r="B62" s="1" t="n">
        <x:v>-2</x:v>
      </x:c>
      <x:c r="C62" s="1" t="n">
        <x:v>10000</x:v>
      </x:c>
      <x:c r="D62" s="1" t="n">
        <x:v>4.2023052e-12</x:v>
      </x:c>
      <x:c r="E62" s="1" t="n">
        <x:v>4.2023052000000005</x:v>
      </x:c>
      <x:c r="F62" s="1" t="n">
        <x:v>0.0076277623</x:v>
      </x:c>
      <x:c r="G62" s="1" t="n">
        <x:v>5.66271648971581e+22</x:v>
      </x:c>
      <x:c r="H62" s="11" t="b">
        <x:v>1</x:v>
      </x:c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15" hidden="0" customHeight="1">
      <x:c r="A63" s="1" t="str">
        <x:v>2.csv</x:v>
      </x:c>
      <x:c r="B63" s="1" t="n">
        <x:v>-1.9</x:v>
      </x:c>
      <x:c r="C63" s="1" t="n">
        <x:v>10000</x:v>
      </x:c>
      <x:c r="D63" s="1" t="n">
        <x:v>4.2655823e-12</x:v>
      </x:c>
      <x:c r="E63" s="1" t="n">
        <x:v>4.2655823</x:v>
      </x:c>
      <x:c r="F63" s="1" t="n">
        <x:v>0.0078079332</x:v>
      </x:c>
      <x:c r="G63" s="1" t="n">
        <x:v>5.495957285421582e+22</x:v>
      </x:c>
      <x:c r="H63" s="11" t="b">
        <x:v>1</x:v>
      </x:c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15" hidden="0" customHeight="1">
      <x:c r="A64" s="1" t="str">
        <x:v>2.csv</x:v>
      </x:c>
      <x:c r="B64" s="1" t="n">
        <x:v>-1.8</x:v>
      </x:c>
      <x:c r="C64" s="1" t="n">
        <x:v>10000</x:v>
      </x:c>
      <x:c r="D64" s="1" t="n">
        <x:v>4.3527621e-12</x:v>
      </x:c>
      <x:c r="E64" s="1" t="n">
        <x:v>4.3527621</x:v>
      </x:c>
      <x:c r="F64" s="1" t="n">
        <x:v>0.00742674</x:v>
      </x:c>
      <x:c r="G64" s="1" t="n">
        <x:v>5.278009129269013e+22</x:v>
      </x:c>
      <x:c r="H64" s="11" t="b">
        <x:v>1</x:v>
      </x:c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15" hidden="0" customHeight="1">
      <x:c r="A65" s="1" t="str">
        <x:v>2.csv</x:v>
      </x:c>
      <x:c r="B65" s="1" t="n">
        <x:v>-1.7</x:v>
      </x:c>
      <x:c r="C65" s="1" t="n">
        <x:v>10000</x:v>
      </x:c>
      <x:c r="D65" s="1" t="n">
        <x:v>4.4454623e-12</x:v>
      </x:c>
      <x:c r="E65" s="1" t="n">
        <x:v>4.4454623</x:v>
      </x:c>
      <x:c r="F65" s="1" t="n">
        <x:v>0.0062213036</x:v>
      </x:c>
      <x:c r="G65" s="1" t="n">
        <x:v>5.0601819941387515e+22</x:v>
      </x:c>
      <x:c r="H65" s="11" t="b">
        <x:v>1</x:v>
      </x:c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15" hidden="0" customHeight="1">
      <x:c r="A66" s="1" t="str">
        <x:v>2.csv</x:v>
      </x:c>
      <x:c r="B66" s="1" t="n">
        <x:v>-1.6</x:v>
      </x:c>
      <x:c r="C66" s="1" t="n">
        <x:v>10000</x:v>
      </x:c>
      <x:c r="D66" s="1" t="n">
        <x:v>4.5388143e-12</x:v>
      </x:c>
      <x:c r="E66" s="1" t="n">
        <x:v>4.5388143</x:v>
      </x:c>
      <x:c r="F66" s="1" t="n">
        <x:v>0.0057406918</x:v>
      </x:c>
      <x:c r="G66" s="1" t="n">
        <x:v>4.8541721142379745e+22</x:v>
      </x:c>
      <x:c r="H66" s="11" t="b">
        <x:v>1</x:v>
      </x:c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15" hidden="0" customHeight="1">
      <x:c r="A67" s="1" t="str">
        <x:v>2.csv</x:v>
      </x:c>
      <x:c r="B67" s="1" t="n">
        <x:v>-1.5</x:v>
      </x:c>
      <x:c r="C67" s="1" t="n">
        <x:v>10000</x:v>
      </x:c>
      <x:c r="D67" s="1" t="n">
        <x:v>4.6509281e-12</x:v>
      </x:c>
      <x:c r="E67" s="1" t="n">
        <x:v>4.6509281</x:v>
      </x:c>
      <x:c r="F67" s="1" t="n">
        <x:v>0.0085798259</x:v>
      </x:c>
      <x:c r="G67" s="1" t="n">
        <x:v>4.622966524142366e+22</x:v>
      </x:c>
      <x:c r="H67" s="11" t="b">
        <x:v>1</x:v>
      </x:c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15" hidden="0" customHeight="1">
      <x:c r="A68" s="1" t="str">
        <x:v>2.csv</x:v>
      </x:c>
      <x:c r="B68" s="1" t="n">
        <x:v>-1.4</x:v>
      </x:c>
      <x:c r="C68" s="1" t="n">
        <x:v>10000</x:v>
      </x:c>
      <x:c r="D68" s="1" t="n">
        <x:v>4.7648223e-12</x:v>
      </x:c>
      <x:c r="E68" s="1" t="n">
        <x:v>4.7648223</x:v>
      </x:c>
      <x:c r="F68" s="1" t="n">
        <x:v>0.0098591883</x:v>
      </x:c>
      <x:c r="G68" s="1" t="n">
        <x:v>4.404601098169561e+22</x:v>
      </x:c>
      <x:c r="H68" s="11" t="b">
        <x:v>1</x:v>
      </x:c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15" hidden="0" customHeight="1">
      <x:c r="A69" s="1" t="str">
        <x:v>2.csv</x:v>
      </x:c>
      <x:c r="B69" s="1" t="n">
        <x:v>-1.3</x:v>
      </x:c>
      <x:c r="C69" s="1" t="n">
        <x:v>10000</x:v>
      </x:c>
      <x:c r="D69" s="1" t="n">
        <x:v>4.8627964e-12</x:v>
      </x:c>
      <x:c r="E69" s="1" t="n">
        <x:v>4.862796400000001</x:v>
      </x:c>
      <x:c r="F69" s="1" t="n">
        <x:v>0.016648004</x:v>
      </x:c>
      <x:c r="G69" s="1" t="n">
        <x:v>4.228904005867067e+22</x:v>
      </x:c>
      <x:c r="H69" s="11" t="b">
        <x:v>1</x:v>
      </x:c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15" hidden="0" customHeight="1">
      <x:c r="A70" s="1" t="str">
        <x:v>2.csv</x:v>
      </x:c>
      <x:c r="B70" s="1" t="n">
        <x:v>-1.2</x:v>
      </x:c>
      <x:c r="C70" s="1" t="n">
        <x:v>10000</x:v>
      </x:c>
      <x:c r="D70" s="1" t="n">
        <x:v>5.0084391e-12</x:v>
      </x:c>
      <x:c r="E70" s="1" t="n">
        <x:v>5.0084391</x:v>
      </x:c>
      <x:c r="F70" s="1" t="n">
        <x:v>0.0099030592</x:v>
      </x:c>
      <x:c r="G70" s="1" t="n">
        <x:v>3.986531548067739e+22</x:v>
      </x:c>
      <x:c r="H70" s="11" t="b">
        <x:v>1</x:v>
      </x:c>
      <x:c r="I70" s="1"/>
      <x:c r="J70" s="1"/>
      <x:c r="K70" s="1"/>
      <x:c r="L70" s="1"/>
      <x:c r="M70" s="1"/>
      <x:c r="N70" s="1"/>
      <x:c r="O70" s="1"/>
      <x:c r="P70" s="1"/>
      <x:c r="Q70" s="1"/>
    </x:row>
    <x:row r="71" ht="15" hidden="0" customHeight="1">
      <x:c r="A71" s="1" t="str">
        <x:v>2.csv</x:v>
      </x:c>
      <x:c r="B71" s="1" t="n">
        <x:v>-1.1</x:v>
      </x:c>
      <x:c r="C71" s="1" t="n">
        <x:v>10000</x:v>
      </x:c>
      <x:c r="D71" s="1" t="n">
        <x:v>5.1286615e-12</x:v>
      </x:c>
      <x:c r="E71" s="1" t="n">
        <x:v>5.1286615</x:v>
      </x:c>
      <x:c r="F71" s="1" t="n">
        <x:v>0.01082088</x:v>
      </x:c>
      <x:c r="G71" s="1" t="n">
        <x:v>3.801823302370361e+22</x:v>
      </x:c>
      <x:c r="H71" s="11" t="b">
        <x:v>1</x:v>
      </x:c>
      <x:c r="I71" s="1"/>
      <x:c r="J71" s="1"/>
      <x:c r="K71" s="1"/>
      <x:c r="L71" s="1"/>
      <x:c r="M71" s="1"/>
      <x:c r="N71" s="1"/>
      <x:c r="O71" s="1"/>
      <x:c r="P71" s="1"/>
      <x:c r="Q71" s="1"/>
    </x:row>
    <x:row r="72" ht="15" hidden="0" customHeight="1">
      <x:c r="A72" s="1" t="str">
        <x:v>2.csv</x:v>
      </x:c>
      <x:c r="B72" s="1" t="n">
        <x:v>-1</x:v>
      </x:c>
      <x:c r="C72" s="1" t="n">
        <x:v>10000</x:v>
      </x:c>
      <x:c r="D72" s="1" t="n">
        <x:v>5.2935409e-12</x:v>
      </x:c>
      <x:c r="E72" s="1" t="n">
        <x:v>5.2935409</x:v>
      </x:c>
      <x:c r="F72" s="1" t="n">
        <x:v>0.0080119007</x:v>
      </x:c>
      <x:c r="G72" s="1" t="n">
        <x:v>3.5686787438693428e+22</x:v>
      </x:c>
      <x:c r="H72" s="11" t="b">
        <x:v>1</x:v>
      </x:c>
      <x:c r="I72" s="1"/>
      <x:c r="J72" s="1"/>
      <x:c r="K72" s="1"/>
      <x:c r="L72" s="1"/>
      <x:c r="M72" s="1"/>
      <x:c r="N72" s="1"/>
      <x:c r="O72" s="1"/>
      <x:c r="P72" s="1"/>
      <x:c r="Q72" s="1"/>
    </x:row>
    <x:row r="73" ht="15" hidden="0" customHeight="1">
      <x:c r="A73" s="1" t="str">
        <x:v>2.csv</x:v>
      </x:c>
      <x:c r="B73" s="1" t="n">
        <x:v>-0.9</x:v>
      </x:c>
      <x:c r="C73" s="1" t="n">
        <x:v>10000</x:v>
      </x:c>
      <x:c r="D73" s="1" t="n">
        <x:v>5.459625e-12</x:v>
      </x:c>
      <x:c r="E73" s="1" t="n">
        <x:v>5.459625</x:v>
      </x:c>
      <x:c r="F73" s="1" t="n">
        <x:v>0.01001332</x:v>
      </x:c>
      <x:c r="G73" s="1" t="n">
        <x:v>3.3548597753560005e+22</x:v>
      </x:c>
      <x:c r="H73" s="11" t="b">
        <x:v>1</x:v>
      </x:c>
      <x:c r="I73" s="1"/>
      <x:c r="J73" s="1"/>
      <x:c r="K73" s="1"/>
      <x:c r="L73" s="1"/>
      <x:c r="M73" s="1"/>
      <x:c r="N73" s="1"/>
      <x:c r="O73" s="1"/>
      <x:c r="P73" s="1"/>
      <x:c r="Q73" s="1"/>
    </x:row>
    <x:row r="74" ht="15" hidden="0" customHeight="1">
      <x:c r="A74" s="1" t="str">
        <x:v>2.csv</x:v>
      </x:c>
      <x:c r="B74" s="1" t="n">
        <x:v>-0.8</x:v>
      </x:c>
      <x:c r="C74" s="1" t="n">
        <x:v>10000</x:v>
      </x:c>
      <x:c r="D74" s="1" t="n">
        <x:v>5.6447751e-12</x:v>
      </x:c>
      <x:c r="E74" s="1" t="n">
        <x:v>5.6447750999999995</x:v>
      </x:c>
      <x:c r="F74" s="1" t="n">
        <x:v>0.0096175958</x:v>
      </x:c>
      <x:c r="G74" s="1" t="n">
        <x:v>3.1383885686897316e+22</x:v>
      </x:c>
      <x:c r="H74" s="11" t="b">
        <x:v>1</x:v>
      </x:c>
      <x:c r="I74" s="1"/>
      <x:c r="J74" s="1"/>
      <x:c r="K74" s="1"/>
      <x:c r="L74" s="1"/>
      <x:c r="M74" s="1"/>
      <x:c r="N74" s="1"/>
      <x:c r="O74" s="1"/>
      <x:c r="P74" s="1"/>
      <x:c r="Q74" s="1"/>
    </x:row>
    <x:row r="75" ht="15" hidden="0" customHeight="1">
      <x:c r="A75" s="1" t="str">
        <x:v>2.csv</x:v>
      </x:c>
      <x:c r="B75" s="1" t="n">
        <x:v>-0.7</x:v>
      </x:c>
      <x:c r="C75" s="1" t="n">
        <x:v>10000</x:v>
      </x:c>
      <x:c r="D75" s="1" t="n">
        <x:v>5.8682153e-12</x:v>
      </x:c>
      <x:c r="E75" s="1" t="n">
        <x:v>5.8682153</x:v>
      </x:c>
      <x:c r="F75" s="1" t="n">
        <x:v>0.0091168414</x:v>
      </x:c>
      <x:c r="G75" s="1" t="n">
        <x:v>2.903941887941858e+22</x:v>
      </x:c>
      <x:c r="H75" s="11" t="b">
        <x:v>1</x:v>
      </x:c>
      <x:c r="I75" s="1"/>
      <x:c r="J75" s="1"/>
      <x:c r="K75" s="1"/>
      <x:c r="L75" s="1"/>
      <x:c r="M75" s="1"/>
      <x:c r="N75" s="1"/>
      <x:c r="O75" s="1"/>
      <x:c r="P75" s="1"/>
      <x:c r="Q75" s="1"/>
    </x:row>
    <x:row r="76" ht="15" hidden="0" customHeight="1">
      <x:c r="A76" s="1" t="str">
        <x:v>2.csv</x:v>
      </x:c>
      <x:c r="B76" s="1" t="n">
        <x:v>-0.6</x:v>
      </x:c>
      <x:c r="C76" s="1" t="n">
        <x:v>10000</x:v>
      </x:c>
      <x:c r="D76" s="1" t="n">
        <x:v>6.0714256e-12</x:v>
      </x:c>
      <x:c r="E76" s="1" t="n">
        <x:v>6.0714256</x:v>
      </x:c>
      <x:c r="F76" s="1" t="n">
        <x:v>0.010960678</x:v>
      </x:c>
      <x:c r="G76" s="1" t="n">
        <x:v>2.712805423523219e+22</x:v>
      </x:c>
      <x:c r="H76" s="11" t="b">
        <x:v>1</x:v>
      </x:c>
      <x:c r="I76" s="1"/>
      <x:c r="J76" s="1"/>
      <x:c r="K76" s="1"/>
      <x:c r="L76" s="1"/>
      <x:c r="M76" s="1"/>
      <x:c r="N76" s="1"/>
      <x:c r="O76" s="1"/>
      <x:c r="P76" s="1"/>
      <x:c r="Q76" s="1"/>
    </x:row>
    <x:row r="77" ht="15" hidden="0" customHeight="1">
      <x:c r="A77" s="1" t="str">
        <x:v>2.csv</x:v>
      </x:c>
      <x:c r="B77" s="1" t="n">
        <x:v>-0.5</x:v>
      </x:c>
      <x:c r="C77" s="1" t="n">
        <x:v>10000</x:v>
      </x:c>
      <x:c r="D77" s="1" t="n">
        <x:v>6.3322707e-12</x:v>
      </x:c>
      <x:c r="E77" s="1" t="n">
        <x:v>6.3322707</x:v>
      </x:c>
      <x:c r="F77" s="1" t="n">
        <x:v>0.0089335822</x:v>
      </x:c>
      <x:c r="G77" s="1" t="n">
        <x:v>2.493911600014174e+22</x:v>
      </x:c>
      <x:c r="H77" s="11" t="b">
        <x:v>1</x:v>
      </x:c>
      <x:c r="I77" s="1"/>
      <x:c r="J77" s="1"/>
      <x:c r="K77" s="1"/>
      <x:c r="L77" s="1"/>
      <x:c r="M77" s="1"/>
      <x:c r="N77" s="1"/>
      <x:c r="O77" s="1"/>
      <x:c r="P77" s="1"/>
      <x:c r="Q77" s="1"/>
    </x:row>
    <x:row r="78" ht="15" hidden="0" customHeight="1">
      <x:c r="A78" s="1" t="str">
        <x:v>2.csv</x:v>
      </x:c>
      <x:c r="B78" s="1" t="n">
        <x:v>-0.4</x:v>
      </x:c>
      <x:c r="C78" s="1" t="n">
        <x:v>10000</x:v>
      </x:c>
      <x:c r="D78" s="1" t="n">
        <x:v>6.6362862e-12</x:v>
      </x:c>
      <x:c r="E78" s="1" t="n">
        <x:v>6.6362862</x:v>
      </x:c>
      <x:c r="F78" s="1" t="n">
        <x:v>0.011850073</x:v>
      </x:c>
      <x:c r="G78" s="1" t="n">
        <x:v>2.2706478480909557e+22</x:v>
      </x:c>
      <x:c r="H78" s="11" t="b">
        <x:v>1</x:v>
      </x:c>
      <x:c r="I78" s="1"/>
      <x:c r="J78" s="1"/>
      <x:c r="K78" s="1"/>
      <x:c r="L78" s="1"/>
      <x:c r="M78" s="1"/>
      <x:c r="N78" s="1"/>
      <x:c r="O78" s="1"/>
      <x:c r="P78" s="1"/>
      <x:c r="Q78" s="1"/>
    </x:row>
    <x:row r="79" ht="15" hidden="0" customHeight="1">
      <x:c r="A79" s="1" t="str">
        <x:v>2.csv</x:v>
      </x:c>
      <x:c r="B79" s="1" t="n">
        <x:v>-0.2</x:v>
      </x:c>
      <x:c r="C79" s="1" t="n">
        <x:v>10000</x:v>
      </x:c>
      <x:c r="D79" s="1" t="n">
        <x:v>7.4182822e-12</x:v>
      </x:c>
      <x:c r="E79" s="1" t="n">
        <x:v>7.418282200000001</x:v>
      </x:c>
      <x:c r="F79" s="1" t="n">
        <x:v>0.010343797</x:v>
      </x:c>
      <x:c r="G79" s="1" t="n">
        <x:v>1.8171605475610923e+22</x:v>
      </x:c>
      <x:c r="H79" s="11" t="b">
        <x:v>1</x:v>
      </x:c>
      <x:c r="I79" s="1"/>
      <x:c r="J79" s="1"/>
      <x:c r="K79" s="1"/>
      <x:c r="L79" s="1"/>
      <x:c r="M79" s="1"/>
      <x:c r="N79" s="1"/>
      <x:c r="O79" s="1"/>
      <x:c r="P79" s="1"/>
      <x:c r="Q79" s="1"/>
    </x:row>
    <x:row r="80" ht="15" hidden="0" customHeight="1">
      <x:c r="A80" s="1" t="str">
        <x:v>2.csv</x:v>
      </x:c>
      <x:c r="B80" s="1" t="n">
        <x:v>0.2</x:v>
      </x:c>
      <x:c r="C80" s="1" t="n">
        <x:v>10000</x:v>
      </x:c>
      <x:c r="D80" s="1" t="n">
        <x:v>1.1695818e-11</x:v>
      </x:c>
      <x:c r="E80" s="1" t="n">
        <x:v>11.695818000000001</x:v>
      </x:c>
      <x:c r="F80" s="1" t="n">
        <x:v>2.6379871</x:v>
      </x:c>
      <x:c r="G80" s="1" t="n">
        <x:v>7.310360546854265e+21</x:v>
      </x:c>
      <x:c r="H80" s="11" t="b">
        <x:v>0</x:v>
      </x:c>
      <x:c r="I80" s="1"/>
      <x:c r="J80" s="1"/>
      <x:c r="K80" s="1"/>
      <x:c r="L80" s="1"/>
      <x:c r="M80" s="1"/>
      <x:c r="N80" s="1"/>
      <x:c r="O80" s="1"/>
      <x:c r="P80" s="1"/>
      <x:c r="Q80" s="1"/>
    </x:row>
    <x:row r="81" ht="15" hidden="0" customHeight="1">
      <x:c r="A81" s="1" t="str">
        <x:v>2.csv</x:v>
      </x:c>
      <x:c r="B81" s="1" t="n">
        <x:v>0.3</x:v>
      </x:c>
      <x:c r="C81" s="1" t="n">
        <x:v>10000</x:v>
      </x:c>
      <x:c r="D81" s="1" t="n">
        <x:v>7.7064306e-11</x:v>
      </x:c>
      <x:c r="E81" s="1" t="n">
        <x:v>77.06430599999999</x:v>
      </x:c>
      <x:c r="F81" s="1" t="n">
        <x:v>2.8267109</x:v>
      </x:c>
      <x:c r="G81" s="1" t="n">
        <x:v>168381144265304900000</x:v>
      </x:c>
      <x:c r="H81" s="11" t="b">
        <x:v>0</x:v>
      </x:c>
      <x:c r="I81" s="1"/>
      <x:c r="J81" s="1"/>
      <x:c r="K81" s="1"/>
      <x:c r="L81" s="1"/>
      <x:c r="M81" s="1"/>
      <x:c r="N81" s="1"/>
      <x:c r="O81" s="1"/>
      <x:c r="P81" s="1"/>
      <x:c r="Q81" s="1"/>
    </x:row>
    <x:row r="82" ht="15" hidden="0" customHeight="1">
      <x:c r="A82" s="1" t="str">
        <x:v>2.csv</x:v>
      </x:c>
      <x:c r="B82" s="1" t="n">
        <x:v>0.5</x:v>
      </x:c>
      <x:c r="C82" s="1" t="n">
        <x:v>10000</x:v>
      </x:c>
      <x:c r="D82" s="1" t="n">
        <x:v>2.6338428e-10</x:v>
      </x:c>
      <x:c r="E82" s="1" t="n">
        <x:v>263.38428</x:v>
      </x:c>
      <x:c r="F82" s="1" t="n">
        <x:v>1.4497969</x:v>
      </x:c>
      <x:c r="G82" s="1" t="n">
        <x:v>14415187598092827000</x:v>
      </x:c>
      <x:c r="H82" s="11" t="b">
        <x:v>0</x:v>
      </x:c>
      <x:c r="I82" s="1"/>
      <x:c r="J82" s="1"/>
      <x:c r="K82" s="1"/>
      <x:c r="L82" s="1"/>
      <x:c r="M82" s="1"/>
      <x:c r="N82" s="1"/>
      <x:c r="O82" s="1"/>
      <x:c r="P82" s="1"/>
      <x:c r="Q82" s="1"/>
    </x:row>
    <x:row r="83" ht="15" hidden="0" customHeight="1">
      <x:c r="A83" s="1" t="str">
        <x:v>2.csv</x:v>
      </x:c>
      <x:c r="B83" s="1" t="n">
        <x:v>0.6</x:v>
      </x:c>
      <x:c r="C83" s="1" t="n">
        <x:v>10000</x:v>
      </x:c>
      <x:c r="D83" s="1" t="n">
        <x:v>2.9202529e-10</x:v>
      </x:c>
      <x:c r="E83" s="1" t="n">
        <x:v>292.02529</x:v>
      </x:c>
      <x:c r="F83" s="1" t="n">
        <x:v>1.3915744</x:v>
      </x:c>
      <x:c r="G83" s="1" t="n">
        <x:v>11726247927882602000</x:v>
      </x:c>
      <x:c r="H83" s="11" t="b">
        <x:v>0</x:v>
      </x:c>
      <x:c r="I83" s="1"/>
      <x:c r="J83" s="1"/>
      <x:c r="K83" s="1"/>
      <x:c r="L83" s="1"/>
      <x:c r="M83" s="1"/>
      <x:c r="N83" s="1"/>
      <x:c r="O83" s="1"/>
      <x:c r="P83" s="1"/>
      <x:c r="Q83" s="1"/>
    </x:row>
    <x:row r="84" ht="15" hidden="0" customHeight="1">
      <x:c r="A84" s="1" t="str">
        <x:v>2.csv</x:v>
      </x:c>
      <x:c r="B84" s="1" t="n">
        <x:v>0.7</x:v>
      </x:c>
      <x:c r="C84" s="1" t="n">
        <x:v>10000</x:v>
      </x:c>
      <x:c r="D84" s="1" t="n">
        <x:v>3.0834332e-10</x:v>
      </x:c>
      <x:c r="E84" s="1" t="n">
        <x:v>308.34332</x:v>
      </x:c>
      <x:c r="F84" s="1" t="n">
        <x:v>1.3901762</x:v>
      </x:c>
      <x:c r="G84" s="1" t="n">
        <x:v>10517945388362869000</x:v>
      </x:c>
      <x:c r="H84" s="11" t="b">
        <x:v>0</x:v>
      </x:c>
      <x:c r="I84" s="1"/>
      <x:c r="J84" s="1"/>
      <x:c r="K84" s="1"/>
      <x:c r="L84" s="1"/>
      <x:c r="M84" s="1"/>
      <x:c r="N84" s="1"/>
      <x:c r="O84" s="1"/>
      <x:c r="P84" s="1"/>
      <x:c r="Q84" s="1"/>
    </x:row>
    <x:row r="85" ht="15" hidden="0" customHeight="1">
      <x:c r="A85" s="1" t="str">
        <x:v>2.csv</x:v>
      </x:c>
      <x:c r="B85" s="1" t="n">
        <x:v>0.8</x:v>
      </x:c>
      <x:c r="C85" s="1" t="n">
        <x:v>10000</x:v>
      </x:c>
      <x:c r="D85" s="1" t="n">
        <x:v>3.1815694e-10</x:v>
      </x:c>
      <x:c r="E85" s="1" t="n">
        <x:v>318.15693999999996</x:v>
      </x:c>
      <x:c r="F85" s="1" t="n">
        <x:v>1.3949407</x:v>
      </x:c>
      <x:c r="G85" s="1" t="n">
        <x:v>9879095824791871000</x:v>
      </x:c>
      <x:c r="H85" s="11" t="b">
        <x:v>0</x:v>
      </x:c>
      <x:c r="I85" s="1"/>
      <x:c r="J85" s="1"/>
      <x:c r="K85" s="1"/>
      <x:c r="L85" s="1"/>
      <x:c r="M85" s="1"/>
      <x:c r="N85" s="1"/>
      <x:c r="O85" s="1"/>
      <x:c r="P85" s="1"/>
      <x:c r="Q85" s="1"/>
    </x:row>
    <x:row r="86" ht="15" hidden="0" customHeight="1">
      <x:c r="A86" s="1" t="str">
        <x:v>2.csv</x:v>
      </x:c>
      <x:c r="B86" s="1" t="n">
        <x:v>0.9</x:v>
      </x:c>
      <x:c r="C86" s="1" t="n">
        <x:v>10000</x:v>
      </x:c>
      <x:c r="D86" s="1" t="n">
        <x:v>3.2531205e-10</x:v>
      </x:c>
      <x:c r="E86" s="1" t="n">
        <x:v>325.31205</x:v>
      </x:c>
      <x:c r="F86" s="1" t="n">
        <x:v>1.4127102</x:v>
      </x:c>
      <x:c r="G86" s="1" t="n">
        <x:v>9449301343976480000</x:v>
      </x:c>
      <x:c r="H86" s="11" t="b">
        <x:v>0</x:v>
      </x:c>
      <x:c r="I86" s="1"/>
      <x:c r="J86" s="1"/>
      <x:c r="K86" s="1"/>
      <x:c r="L86" s="1"/>
      <x:c r="M86" s="1"/>
      <x:c r="N86" s="1"/>
      <x:c r="O86" s="1"/>
      <x:c r="P86" s="1"/>
      <x:c r="Q86" s="1"/>
    </x:row>
    <x:row r="87" ht="15" hidden="0" customHeight="1">
      <x:c r="A87" s="1" t="str">
        <x:v>2.csv</x:v>
      </x:c>
      <x:c r="B87" s="1" t="n">
        <x:v>1</x:v>
      </x:c>
      <x:c r="C87" s="1" t="n">
        <x:v>10000</x:v>
      </x:c>
      <x:c r="D87" s="1" t="n">
        <x:v>3.2979732e-10</x:v>
      </x:c>
      <x:c r="E87" s="1" t="n">
        <x:v>329.79732</x:v>
      </x:c>
      <x:c r="F87" s="1" t="n">
        <x:v>1.4488373</x:v>
      </x:c>
      <x:c r="G87" s="1" t="n">
        <x:v>9194026595240752000</x:v>
      </x:c>
      <x:c r="H87" s="11" t="b">
        <x:v>0</x:v>
      </x:c>
      <x:c r="I87" s="1"/>
      <x:c r="J87" s="1"/>
      <x:c r="K87" s="1"/>
      <x:c r="L87" s="1"/>
      <x:c r="M87" s="1"/>
      <x:c r="N87" s="1"/>
      <x:c r="O87" s="1"/>
      <x:c r="P87" s="1"/>
      <x:c r="Q87" s="1"/>
    </x:row>
    <x:row r="88" ht="15" hidden="0" customHeight="1">
      <x:c r="A88" s="1" t="str">
        <x:v>2.csv</x:v>
      </x:c>
      <x:c r="B88" s="1" t="n">
        <x:v>1.1</x:v>
      </x:c>
      <x:c r="C88" s="1" t="n">
        <x:v>10000</x:v>
      </x:c>
      <x:c r="D88" s="1" t="n">
        <x:v>3.3462313e-10</x:v>
      </x:c>
      <x:c r="E88" s="1" t="n">
        <x:v>334.62313</x:v>
      </x:c>
      <x:c r="F88" s="1" t="n">
        <x:v>1.4398609</x:v>
      </x:c>
      <x:c r="G88" s="1" t="n">
        <x:v>8930753153277909000</x:v>
      </x:c>
      <x:c r="H88" s="11" t="b">
        <x:v>0</x:v>
      </x:c>
      <x:c r="I88" s="1"/>
      <x:c r="J88" s="1"/>
      <x:c r="K88" s="1"/>
      <x:c r="L88" s="1"/>
      <x:c r="M88" s="1"/>
      <x:c r="N88" s="1"/>
      <x:c r="O88" s="1"/>
      <x:c r="P88" s="1"/>
      <x:c r="Q88" s="1"/>
    </x:row>
    <x:row r="89" ht="15" hidden="0" customHeight="1">
      <x:c r="A89" s="1" t="str">
        <x:v>2.csv</x:v>
      </x:c>
      <x:c r="B89" s="1" t="n">
        <x:v>1.2</x:v>
      </x:c>
      <x:c r="C89" s="1" t="n">
        <x:v>10000</x:v>
      </x:c>
      <x:c r="D89" s="1" t="n">
        <x:v>3.3751101e-10</x:v>
      </x:c>
      <x:c r="E89" s="1" t="n">
        <x:v>337.51101</x:v>
      </x:c>
      <x:c r="F89" s="1" t="n">
        <x:v>1.4338444</x:v>
      </x:c>
      <x:c r="G89" s="1" t="n">
        <x:v>8778576757184481000</x:v>
      </x:c>
      <x:c r="H89" s="11" t="b">
        <x:v>0</x:v>
      </x:c>
      <x:c r="I89" s="1"/>
      <x:c r="J89" s="1"/>
      <x:c r="K89" s="1"/>
      <x:c r="L89" s="1"/>
      <x:c r="M89" s="1"/>
      <x:c r="N89" s="1"/>
      <x:c r="O89" s="1"/>
      <x:c r="P89" s="1"/>
      <x:c r="Q89" s="1"/>
    </x:row>
    <x:row r="90" ht="15" hidden="0" customHeight="1">
      <x:c r="A90" s="1" t="str">
        <x:v>2.csv</x:v>
      </x:c>
      <x:c r="B90" s="1" t="n">
        <x:v>1.3</x:v>
      </x:c>
      <x:c r="C90" s="1" t="n">
        <x:v>10000</x:v>
      </x:c>
      <x:c r="D90" s="1" t="n">
        <x:v>3.4021543e-10</x:v>
      </x:c>
      <x:c r="E90" s="1" t="n">
        <x:v>340.21543</x:v>
      </x:c>
      <x:c r="F90" s="1" t="n">
        <x:v>1.4289152</x:v>
      </x:c>
      <x:c r="G90" s="1" t="n">
        <x:v>8639567198124034000</x:v>
      </x:c>
      <x:c r="H90" s="11" t="b">
        <x:v>0</x:v>
      </x:c>
      <x:c r="I90" s="1"/>
      <x:c r="J90" s="1"/>
      <x:c r="K90" s="1"/>
      <x:c r="L90" s="1"/>
      <x:c r="M90" s="1"/>
      <x:c r="N90" s="1"/>
      <x:c r="O90" s="1"/>
      <x:c r="P90" s="1"/>
      <x:c r="Q90" s="1"/>
    </x:row>
    <x:row r="91" ht="15" hidden="0" customHeight="1">
      <x:c r="A91" s="1" t="str">
        <x:v>2.csv</x:v>
      </x:c>
      <x:c r="B91" s="1" t="n">
        <x:v>1.4</x:v>
      </x:c>
      <x:c r="C91" s="1" t="n">
        <x:v>10000</x:v>
      </x:c>
      <x:c r="D91" s="1" t="n">
        <x:v>3.4329558e-10</x:v>
      </x:c>
      <x:c r="E91" s="1" t="n">
        <x:v>343.29558</x:v>
      </x:c>
      <x:c r="F91" s="1" t="n">
        <x:v>1.4195784</x:v>
      </x:c>
      <x:c r="G91" s="1" t="n">
        <x:v>8485229170975688000</x:v>
      </x:c>
      <x:c r="H91" s="11" t="b">
        <x:v>0</x:v>
      </x:c>
      <x:c r="I91" s="1"/>
      <x:c r="J91" s="1"/>
      <x:c r="K91" s="1"/>
      <x:c r="L91" s="1"/>
      <x:c r="M91" s="1"/>
      <x:c r="N91" s="1"/>
      <x:c r="O91" s="1"/>
      <x:c r="P91" s="1"/>
      <x:c r="Q91" s="1"/>
    </x:row>
    <x:row r="92" ht="15" hidden="0" customHeight="1">
      <x:c r="A92" s="1" t="str">
        <x:v>2.csv</x:v>
      </x:c>
      <x:c r="B92" s="1" t="n">
        <x:v>1.5</x:v>
      </x:c>
      <x:c r="C92" s="1" t="n">
        <x:v>10000</x:v>
      </x:c>
      <x:c r="D92" s="1" t="n">
        <x:v>3.437433e-10</x:v>
      </x:c>
      <x:c r="E92" s="1" t="n">
        <x:v>343.74330000000003</x:v>
      </x:c>
      <x:c r="F92" s="1" t="n">
        <x:v>1.4280094</x:v>
      </x:c>
      <x:c r="G92" s="1" t="n">
        <x:v>8463139822718079000</x:v>
      </x:c>
      <x:c r="H92" s="11" t="b">
        <x:v>0</x:v>
      </x:c>
      <x:c r="I92" s="1"/>
      <x:c r="J92" s="1"/>
      <x:c r="K92" s="1"/>
      <x:c r="L92" s="1"/>
      <x:c r="M92" s="1"/>
      <x:c r="N92" s="1"/>
      <x:c r="O92" s="1"/>
      <x:c r="P92" s="1"/>
      <x:c r="Q92" s="1"/>
    </x:row>
    <x:row r="93" ht="15" hidden="0" customHeight="1">
      <x:c r="A93" s="1" t="str">
        <x:v>2.csv</x:v>
      </x:c>
      <x:c r="B93" s="1" t="n">
        <x:v>1.6</x:v>
      </x:c>
      <x:c r="C93" s="1" t="n">
        <x:v>10000</x:v>
      </x:c>
      <x:c r="D93" s="1" t="n">
        <x:v>3.4621172e-10</x:v>
      </x:c>
      <x:c r="E93" s="1" t="n">
        <x:v>346.21172</x:v>
      </x:c>
      <x:c r="F93" s="1" t="n">
        <x:v>1.4252441</x:v>
      </x:c>
      <x:c r="G93" s="1" t="n">
        <x:v>8342889065352579000</x:v>
      </x:c>
      <x:c r="H93" s="11" t="b">
        <x:v>0</x:v>
      </x:c>
      <x:c r="I93" s="1"/>
      <x:c r="J93" s="1"/>
      <x:c r="K93" s="1"/>
      <x:c r="L93" s="1"/>
      <x:c r="M93" s="1"/>
      <x:c r="N93" s="1"/>
      <x:c r="O93" s="1"/>
      <x:c r="P93" s="1"/>
      <x:c r="Q93" s="1"/>
    </x:row>
    <x:row r="94" ht="15" hidden="0" customHeight="1">
      <x:c r="A94" s="1" t="str">
        <x:v>2.csv</x:v>
      </x:c>
      <x:c r="B94" s="1" t="n">
        <x:v>1.7</x:v>
      </x:c>
      <x:c r="C94" s="1" t="n">
        <x:v>10000</x:v>
      </x:c>
      <x:c r="D94" s="1" t="n">
        <x:v>3.4770996e-10</x:v>
      </x:c>
      <x:c r="E94" s="1" t="n">
        <x:v>347.70996</x:v>
      </x:c>
      <x:c r="F94" s="1" t="n">
        <x:v>1.4262502</x:v>
      </x:c>
      <x:c r="G94" s="1" t="n">
        <x:v>8271146971016626000</x:v>
      </x:c>
      <x:c r="H94" s="11" t="b">
        <x:v>0</x:v>
      </x:c>
      <x:c r="I94" s="1"/>
      <x:c r="J94" s="1"/>
      <x:c r="K94" s="1"/>
      <x:c r="L94" s="1"/>
      <x:c r="M94" s="1"/>
      <x:c r="N94" s="1"/>
      <x:c r="O94" s="1"/>
      <x:c r="P94" s="1"/>
      <x:c r="Q94" s="1"/>
    </x:row>
    <x:row r="95" ht="15" hidden="0" customHeight="1">
      <x:c r="A95" s="1" t="str">
        <x:v>2.csv</x:v>
      </x:c>
      <x:c r="B95" s="1" t="n">
        <x:v>1.8</x:v>
      </x:c>
      <x:c r="C95" s="1" t="n">
        <x:v>10000</x:v>
      </x:c>
      <x:c r="D95" s="1" t="n">
        <x:v>3.4950067e-10</x:v>
      </x:c>
      <x:c r="E95" s="1" t="n">
        <x:v>349.50067</x:v>
      </x:c>
      <x:c r="F95" s="1" t="n">
        <x:v>1.4302053</x:v>
      </x:c>
      <x:c r="G95" s="1" t="n">
        <x:v>8186607607945001000</x:v>
      </x:c>
      <x:c r="H95" s="11" t="b">
        <x:v>0</x:v>
      </x:c>
      <x:c r="I95" s="1"/>
      <x:c r="J95" s="1"/>
      <x:c r="K95" s="1"/>
      <x:c r="L95" s="1"/>
      <x:c r="M95" s="1"/>
      <x:c r="N95" s="1"/>
      <x:c r="O95" s="1"/>
      <x:c r="P95" s="1"/>
      <x:c r="Q95" s="1"/>
    </x:row>
    <x:row r="96" ht="15" hidden="0" customHeight="1">
      <x:c r="A96" s="1" t="str">
        <x:v>2.csv</x:v>
      </x:c>
      <x:c r="B96" s="1" t="n">
        <x:v>1.9</x:v>
      </x:c>
      <x:c r="C96" s="1" t="n">
        <x:v>10000</x:v>
      </x:c>
      <x:c r="D96" s="1" t="n">
        <x:v>3.51065e-10</x:v>
      </x:c>
      <x:c r="E96" s="1" t="n">
        <x:v>351.065</x:v>
      </x:c>
      <x:c r="F96" s="1" t="n">
        <x:v>1.4334924</x:v>
      </x:c>
      <x:c r="G96" s="1" t="n">
        <x:v>8113811839878664000</x:v>
      </x:c>
      <x:c r="H96" s="11" t="b">
        <x:v>0</x:v>
      </x:c>
      <x:c r="I96" s="1"/>
      <x:c r="J96" s="1"/>
      <x:c r="K96" s="1"/>
      <x:c r="L96" s="1"/>
      <x:c r="M96" s="1"/>
      <x:c r="N96" s="1"/>
      <x:c r="O96" s="1"/>
      <x:c r="P96" s="1"/>
      <x:c r="Q96" s="1"/>
    </x:row>
    <x:row r="97" ht="15" hidden="0" customHeight="1">
      <x:c r="A97" s="1" t="str">
        <x:v>2.csv</x:v>
      </x:c>
      <x:c r="B97" s="1" t="n">
        <x:v>2</x:v>
      </x:c>
      <x:c r="C97" s="1" t="n">
        <x:v>10000</x:v>
      </x:c>
      <x:c r="D97" s="1" t="n">
        <x:v>3.5151081e-10</x:v>
      </x:c>
      <x:c r="E97" s="1" t="n">
        <x:v>351.51081</x:v>
      </x:c>
      <x:c r="F97" s="1" t="n">
        <x:v>1.4407669</x:v>
      </x:c>
      <x:c r="G97" s="1" t="n">
        <x:v>8093243911087656000</x:v>
      </x:c>
      <x:c r="H97" s="11" t="b">
        <x:v>0</x:v>
      </x:c>
      <x:c r="I97" s="1"/>
      <x:c r="J97" s="1"/>
      <x:c r="K97" s="1"/>
      <x:c r="L97" s="1"/>
      <x:c r="M97" s="1"/>
      <x:c r="N97" s="1"/>
      <x:c r="O97" s="1"/>
      <x:c r="P97" s="1"/>
      <x:c r="Q97" s="1"/>
    </x:row>
    <x:row r="98" ht="15" hidden="0" customHeight="1">
      <x:c r="A98" s="1" t="str">
        <x:v>2.csv</x:v>
      </x:c>
      <x:c r="B98" s="1" t="n">
        <x:v>2.1</x:v>
      </x:c>
      <x:c r="C98" s="1" t="n">
        <x:v>10000</x:v>
      </x:c>
      <x:c r="D98" s="1" t="n">
        <x:v>3.5261274e-10</x:v>
      </x:c>
      <x:c r="E98" s="1" t="n">
        <x:v>352.61274</x:v>
      </x:c>
      <x:c r="F98" s="1" t="n">
        <x:v>1.4394458</x:v>
      </x:c>
      <x:c r="G98" s="1" t="n">
        <x:v>8042739477233537000</x:v>
      </x:c>
      <x:c r="H98" s="11" t="b">
        <x:v>0</x:v>
      </x:c>
      <x:c r="I98" s="1"/>
      <x:c r="J98" s="1"/>
      <x:c r="K98" s="1"/>
      <x:c r="L98" s="1"/>
      <x:c r="M98" s="1"/>
      <x:c r="N98" s="1"/>
      <x:c r="O98" s="1"/>
      <x:c r="P98" s="1"/>
      <x:c r="Q98" s="1"/>
    </x:row>
    <x:row r="99" ht="15" hidden="0" customHeight="1">
      <x:c r="A99" s="1" t="str">
        <x:v>3.csv</x:v>
      </x:c>
      <x:c r="B99" s="1" t="n">
        <x:v>-3</x:v>
      </x:c>
      <x:c r="C99" s="1" t="n">
        <x:v>10000</x:v>
      </x:c>
      <x:c r="D99" s="1" t="n">
        <x:v>3.6073319e-12</x:v>
      </x:c>
      <x:c r="E99" s="1" t="n">
        <x:v>3.6073319</x:v>
      </x:c>
      <x:c r="F99" s="1" t="n">
        <x:v>0.0055732987</x:v>
      </x:c>
      <x:c r="G99" s="1" t="n">
        <x:v>7.68471552631827e+22</x:v>
      </x:c>
      <x:c r="H99" s="11" t="b">
        <x:v>1</x:v>
      </x:c>
      <x:c r="I99" s="1"/>
      <x:c r="J99" s="1"/>
      <x:c r="K99" s="1"/>
      <x:c r="L99" s="1"/>
      <x:c r="M99" s="1"/>
      <x:c r="N99" s="1"/>
      <x:c r="O99" s="1"/>
      <x:c r="P99" s="1"/>
      <x:c r="Q99" s="1"/>
    </x:row>
    <x:row r="100" ht="15" hidden="0" customHeight="1">
      <x:c r="A100" s="1" t="str">
        <x:v>3.csv</x:v>
      </x:c>
      <x:c r="B100" s="1" t="n">
        <x:v>-2.9</x:v>
      </x:c>
      <x:c r="C100" s="1" t="n">
        <x:v>10000</x:v>
      </x:c>
      <x:c r="D100" s="1" t="n">
        <x:v>3.6506662e-12</x:v>
      </x:c>
      <x:c r="E100" s="1" t="n">
        <x:v>3.6506662</x:v>
      </x:c>
      <x:c r="F100" s="1" t="n">
        <x:v>0.0059759244</x:v>
      </x:c>
      <x:c r="G100" s="1" t="n">
        <x:v>7.503359420687143e+22</x:v>
      </x:c>
      <x:c r="H100" s="11" t="b">
        <x:v>1</x:v>
      </x:c>
      <x:c r="I100" s="1"/>
      <x:c r="J100" s="1"/>
      <x:c r="K100" s="1"/>
      <x:c r="L100" s="1"/>
      <x:c r="M100" s="1"/>
      <x:c r="N100" s="1"/>
      <x:c r="O100" s="1"/>
      <x:c r="P100" s="1"/>
      <x:c r="Q100" s="1"/>
    </x:row>
    <x:row r="101" ht="15" hidden="0" customHeight="1">
      <x:c r="A101" s="1" t="str">
        <x:v>3.csv</x:v>
      </x:c>
      <x:c r="B101" s="1" t="n">
        <x:v>-2.8</x:v>
      </x:c>
      <x:c r="C101" s="1" t="n">
        <x:v>10000</x:v>
      </x:c>
      <x:c r="D101" s="1" t="n">
        <x:v>3.695331e-12</x:v>
      </x:c>
      <x:c r="E101" s="1" t="n">
        <x:v>3.6953310000000004</x:v>
      </x:c>
      <x:c r="F101" s="1" t="n">
        <x:v>0.0049247084</x:v>
      </x:c>
      <x:c r="G101" s="1" t="n">
        <x:v>7.323072088732815e+22</x:v>
      </x:c>
      <x:c r="H101" s="11" t="b">
        <x:v>1</x:v>
      </x:c>
      <x:c r="I101" s="1"/>
      <x:c r="J101" s="1"/>
      <x:c r="K101" s="1"/>
      <x:c r="L101" s="1"/>
      <x:c r="M101" s="1"/>
      <x:c r="N101" s="1"/>
      <x:c r="O101" s="1"/>
      <x:c r="P101" s="1"/>
      <x:c r="Q101" s="1"/>
    </x:row>
    <x:row r="102" ht="15" hidden="0" customHeight="1">
      <x:c r="A102" s="1" t="str">
        <x:v>3.csv</x:v>
      </x:c>
      <x:c r="B102" s="1" t="n">
        <x:v>-2.7</x:v>
      </x:c>
      <x:c r="C102" s="1" t="n">
        <x:v>10000</x:v>
      </x:c>
      <x:c r="D102" s="1" t="n">
        <x:v>3.7598991e-12</x:v>
      </x:c>
      <x:c r="E102" s="1" t="n">
        <x:v>3.7598991</x:v>
      </x:c>
      <x:c r="F102" s="1" t="n">
        <x:v>0.0076367998</x:v>
      </x:c>
      <x:c r="G102" s="1" t="n">
        <x:v>7.073715994038677e+22</x:v>
      </x:c>
      <x:c r="H102" s="11" t="b">
        <x:v>1</x:v>
      </x:c>
      <x:c r="I102" s="1"/>
      <x:c r="J102" s="1"/>
      <x:c r="K102" s="1"/>
      <x:c r="L102" s="1"/>
      <x:c r="M102" s="1"/>
      <x:c r="N102" s="1"/>
      <x:c r="O102" s="1"/>
      <x:c r="P102" s="1"/>
      <x:c r="Q102" s="1"/>
    </x:row>
    <x:row r="103" ht="15" hidden="0" customHeight="1">
      <x:c r="A103" s="1" t="str">
        <x:v>3.csv</x:v>
      </x:c>
      <x:c r="B103" s="1" t="n">
        <x:v>-2.6</x:v>
      </x:c>
      <x:c r="C103" s="1" t="n">
        <x:v>10000</x:v>
      </x:c>
      <x:c r="D103" s="1" t="n">
        <x:v>3.8001009e-12</x:v>
      </x:c>
      <x:c r="E103" s="1" t="n">
        <x:v>3.8001009</x:v>
      </x:c>
      <x:c r="F103" s="1" t="n">
        <x:v>0.0091760586</x:v>
      </x:c>
      <x:c r="G103" s="1" t="n">
        <x:v>6.9248400058995425e+22</x:v>
      </x:c>
      <x:c r="H103" s="11" t="b">
        <x:v>1</x:v>
      </x:c>
      <x:c r="I103" s="1"/>
      <x:c r="J103" s="1"/>
      <x:c r="K103" s="1"/>
      <x:c r="L103" s="1"/>
      <x:c r="M103" s="1"/>
      <x:c r="N103" s="1"/>
      <x:c r="O103" s="1"/>
      <x:c r="P103" s="1"/>
      <x:c r="Q103" s="1"/>
    </x:row>
    <x:row r="104" ht="15" hidden="0" customHeight="1">
      <x:c r="A104" s="1" t="str">
        <x:v>3.csv</x:v>
      </x:c>
      <x:c r="B104" s="1" t="n">
        <x:v>-2.5</x:v>
      </x:c>
      <x:c r="C104" s="1" t="n">
        <x:v>10000</x:v>
      </x:c>
      <x:c r="D104" s="1" t="n">
        <x:v>3.8622825e-12</x:v>
      </x:c>
      <x:c r="E104" s="1" t="n">
        <x:v>3.8622825</x:v>
      </x:c>
      <x:c r="F104" s="1" t="n">
        <x:v>0.0045276661</x:v>
      </x:c>
      <x:c r="G104" s="1" t="n">
        <x:v>6.703659196682837e+22</x:v>
      </x:c>
      <x:c r="H104" s="11" t="b">
        <x:v>1</x:v>
      </x:c>
      <x:c r="I104" s="1"/>
      <x:c r="J104" s="1"/>
      <x:c r="K104" s="1"/>
      <x:c r="L104" s="1"/>
      <x:c r="M104" s="1"/>
      <x:c r="N104" s="1"/>
      <x:c r="O104" s="1"/>
      <x:c r="P104" s="1"/>
      <x:c r="Q104" s="1"/>
    </x:row>
    <x:row r="105" ht="15" hidden="0" customHeight="1">
      <x:c r="A105" s="1" t="str">
        <x:v>3.csv</x:v>
      </x:c>
      <x:c r="B105" s="1" t="n">
        <x:v>-2.4</x:v>
      </x:c>
      <x:c r="C105" s="1" t="n">
        <x:v>10000</x:v>
      </x:c>
      <x:c r="D105" s="1" t="n">
        <x:v>3.9288157e-12</x:v>
      </x:c>
      <x:c r="E105" s="1" t="n">
        <x:v>3.9288157000000004</x:v>
      </x:c>
      <x:c r="F105" s="1" t="n">
        <x:v>0.0085390246</x:v>
      </x:c>
      <x:c r="G105" s="1" t="n">
        <x:v>6.478533171101523e+22</x:v>
      </x:c>
      <x:c r="H105" s="11" t="b">
        <x:v>1</x:v>
      </x:c>
      <x:c r="I105" s="1"/>
      <x:c r="J105" s="1"/>
      <x:c r="K105" s="1"/>
      <x:c r="L105" s="1"/>
      <x:c r="M105" s="1"/>
      <x:c r="N105" s="1"/>
      <x:c r="O105" s="1"/>
      <x:c r="P105" s="1"/>
      <x:c r="Q105" s="1"/>
    </x:row>
    <x:row r="106" ht="15" hidden="0" customHeight="1">
      <x:c r="A106" s="1" t="str">
        <x:v>3.csv</x:v>
      </x:c>
      <x:c r="B106" s="1" t="n">
        <x:v>-2.3</x:v>
      </x:c>
      <x:c r="C106" s="1" t="n">
        <x:v>10000</x:v>
      </x:c>
      <x:c r="D106" s="1" t="n">
        <x:v>3.9768254e-12</x:v>
      </x:c>
      <x:c r="E106" s="1" t="n">
        <x:v>3.9768254</x:v>
      </x:c>
      <x:c r="F106" s="1" t="n">
        <x:v>0.010246941</x:v>
      </x:c>
      <x:c r="G106" s="1" t="n">
        <x:v>6.3230548918834205e+22</x:v>
      </x:c>
      <x:c r="H106" s="11" t="b">
        <x:v>1</x:v>
      </x:c>
      <x:c r="I106" s="1"/>
      <x:c r="J106" s="1"/>
      <x:c r="K106" s="1"/>
      <x:c r="L106" s="1"/>
      <x:c r="M106" s="1"/>
      <x:c r="N106" s="1"/>
      <x:c r="O106" s="1"/>
      <x:c r="P106" s="1"/>
      <x:c r="Q106" s="1"/>
    </x:row>
    <x:row r="107" ht="15" hidden="0" customHeight="1">
      <x:c r="A107" s="1" t="str">
        <x:v>3.csv</x:v>
      </x:c>
      <x:c r="B107" s="1" t="n">
        <x:v>-2.2</x:v>
      </x:c>
      <x:c r="C107" s="1" t="n">
        <x:v>10000</x:v>
      </x:c>
      <x:c r="D107" s="1" t="n">
        <x:v>4.0342704e-12</x:v>
      </x:c>
      <x:c r="E107" s="1" t="n">
        <x:v>4.0342704000000005</x:v>
      </x:c>
      <x:c r="F107" s="1" t="n">
        <x:v>0.0068610356</x:v>
      </x:c>
      <x:c r="G107" s="1" t="n">
        <x:v>6.144265764994115e+22</x:v>
      </x:c>
      <x:c r="H107" s="11" t="b">
        <x:v>1</x:v>
      </x:c>
      <x:c r="I107" s="1"/>
      <x:c r="J107" s="1"/>
      <x:c r="K107" s="1"/>
      <x:c r="L107" s="1"/>
      <x:c r="M107" s="1"/>
      <x:c r="N107" s="1"/>
      <x:c r="O107" s="1"/>
      <x:c r="P107" s="1"/>
      <x:c r="Q107" s="1"/>
    </x:row>
    <x:row r="108" ht="15" hidden="0" customHeight="1">
      <x:c r="A108" s="1" t="str">
        <x:v>3.csv</x:v>
      </x:c>
      <x:c r="B108" s="1" t="n">
        <x:v>-2.1</x:v>
      </x:c>
      <x:c r="C108" s="1" t="n">
        <x:v>10000</x:v>
      </x:c>
      <x:c r="D108" s="1" t="n">
        <x:v>4.1139402e-12</x:v>
      </x:c>
      <x:c r="E108" s="1" t="n">
        <x:v>4.1139402</x:v>
      </x:c>
      <x:c r="F108" s="1" t="n">
        <x:v>0.0063344658</x:v>
      </x:c>
      <x:c r="G108" s="1" t="n">
        <x:v>5.9085926643478735e+22</x:v>
      </x:c>
      <x:c r="H108" s="11" t="b">
        <x:v>1</x:v>
      </x:c>
      <x:c r="I108" s="1"/>
      <x:c r="J108" s="1"/>
      <x:c r="K108" s="1"/>
      <x:c r="L108" s="1"/>
      <x:c r="M108" s="1"/>
      <x:c r="N108" s="1"/>
      <x:c r="O108" s="1"/>
      <x:c r="P108" s="1"/>
      <x:c r="Q108" s="1"/>
    </x:row>
    <x:row r="109" ht="15" hidden="0" customHeight="1">
      <x:c r="A109" s="1" t="str">
        <x:v>3.csv</x:v>
      </x:c>
      <x:c r="B109" s="1" t="n">
        <x:v>-2</x:v>
      </x:c>
      <x:c r="C109" s="1" t="n">
        <x:v>10000</x:v>
      </x:c>
      <x:c r="D109" s="1" t="n">
        <x:v>4.1953052e-12</x:v>
      </x:c>
      <x:c r="E109" s="1" t="n">
        <x:v>4.1953052</x:v>
      </x:c>
      <x:c r="F109" s="1" t="n">
        <x:v>0.0055190645</x:v>
      </x:c>
      <x:c r="G109" s="1" t="n">
        <x:v>5.681629099414025e+22</x:v>
      </x:c>
      <x:c r="H109" s="11" t="b">
        <x:v>1</x:v>
      </x:c>
      <x:c r="I109" s="1"/>
      <x:c r="J109" s="1"/>
      <x:c r="K109" s="1"/>
      <x:c r="L109" s="1"/>
      <x:c r="M109" s="1"/>
      <x:c r="N109" s="1"/>
      <x:c r="O109" s="1"/>
      <x:c r="P109" s="1"/>
      <x:c r="Q109" s="1"/>
    </x:row>
    <x:row r="110" ht="15" hidden="0" customHeight="1">
      <x:c r="A110" s="1" t="str">
        <x:v>3.csv</x:v>
      </x:c>
      <x:c r="B110" s="1" t="n">
        <x:v>-1.9</x:v>
      </x:c>
      <x:c r="C110" s="1" t="n">
        <x:v>10000</x:v>
      </x:c>
      <x:c r="D110" s="1" t="n">
        <x:v>4.2822972e-12</x:v>
      </x:c>
      <x:c r="E110" s="1" t="n">
        <x:v>4.2822972</x:v>
      </x:c>
      <x:c r="F110" s="1" t="n">
        <x:v>0.0086644831</x:v>
      </x:c>
      <x:c r="G110" s="1" t="n">
        <x:v>5.453136767796196e+22</x:v>
      </x:c>
      <x:c r="H110" s="11" t="b">
        <x:v>1</x:v>
      </x:c>
      <x:c r="I110" s="1"/>
      <x:c r="J110" s="1"/>
      <x:c r="K110" s="1"/>
      <x:c r="L110" s="1"/>
      <x:c r="M110" s="1"/>
      <x:c r="N110" s="1"/>
      <x:c r="O110" s="1"/>
      <x:c r="P110" s="1"/>
      <x:c r="Q110" s="1"/>
    </x:row>
    <x:row r="111" ht="15" hidden="0" customHeight="1">
      <x:c r="A111" s="1" t="str">
        <x:v>3.csv</x:v>
      </x:c>
      <x:c r="B111" s="1" t="n">
        <x:v>-1.8</x:v>
      </x:c>
      <x:c r="C111" s="1" t="n">
        <x:v>10000</x:v>
      </x:c>
      <x:c r="D111" s="1" t="n">
        <x:v>4.3481617e-12</x:v>
      </x:c>
      <x:c r="E111" s="1" t="n">
        <x:v>4.3481617</x:v>
      </x:c>
      <x:c r="F111" s="1" t="n">
        <x:v>0.010470613</x:v>
      </x:c>
      <x:c r="G111" s="1" t="n">
        <x:v>5.289183413770878e+22</x:v>
      </x:c>
      <x:c r="H111" s="11" t="b">
        <x:v>1</x:v>
      </x:c>
      <x:c r="I111" s="1"/>
      <x:c r="J111" s="1"/>
      <x:c r="K111" s="1"/>
      <x:c r="L111" s="1"/>
      <x:c r="M111" s="1"/>
      <x:c r="N111" s="1"/>
      <x:c r="O111" s="1"/>
      <x:c r="P111" s="1"/>
      <x:c r="Q111" s="1"/>
    </x:row>
    <x:row r="112" ht="15" hidden="0" customHeight="1">
      <x:c r="A112" s="1" t="str">
        <x:v>3.csv</x:v>
      </x:c>
      <x:c r="B112" s="1" t="n">
        <x:v>-1.7</x:v>
      </x:c>
      <x:c r="C112" s="1" t="n">
        <x:v>10000</x:v>
      </x:c>
      <x:c r="D112" s="1" t="n">
        <x:v>4.4380624e-12</x:v>
      </x:c>
      <x:c r="E112" s="1" t="n">
        <x:v>4.4380624</x:v>
      </x:c>
      <x:c r="F112" s="1" t="n">
        <x:v>0.0068914084</x:v>
      </x:c>
      <x:c r="G112" s="1" t="n">
        <x:v>5.077070471404772e+22</x:v>
      </x:c>
      <x:c r="H112" s="11" t="b">
        <x:v>1</x:v>
      </x:c>
      <x:c r="I112" s="1"/>
      <x:c r="J112" s="1"/>
      <x:c r="K112" s="1"/>
      <x:c r="L112" s="1"/>
      <x:c r="M112" s="1"/>
      <x:c r="N112" s="1"/>
      <x:c r="O112" s="1"/>
      <x:c r="P112" s="1"/>
      <x:c r="Q112" s="1"/>
    </x:row>
    <x:row r="113" ht="15" hidden="0" customHeight="1">
      <x:c r="A113" s="1" t="str">
        <x:v>3.csv</x:v>
      </x:c>
      <x:c r="B113" s="1" t="n">
        <x:v>-1.6</x:v>
      </x:c>
      <x:c r="C113" s="1" t="n">
        <x:v>10000</x:v>
      </x:c>
      <x:c r="D113" s="1" t="n">
        <x:v>4.537619e-12</x:v>
      </x:c>
      <x:c r="E113" s="1" t="n">
        <x:v>4.537619</x:v>
      </x:c>
      <x:c r="F113" s="1" t="n">
        <x:v>0.0082328914</x:v>
      </x:c>
      <x:c r="G113" s="1" t="n">
        <x:v>4.856729823968609e+22</x:v>
      </x:c>
      <x:c r="H113" s="11" t="b">
        <x:v>1</x:v>
      </x:c>
      <x:c r="I113" s="1"/>
      <x:c r="J113" s="1"/>
      <x:c r="K113" s="1"/>
      <x:c r="L113" s="1"/>
      <x:c r="M113" s="1"/>
      <x:c r="N113" s="1"/>
      <x:c r="O113" s="1"/>
      <x:c r="P113" s="1"/>
      <x:c r="Q113" s="1"/>
    </x:row>
    <x:row r="114" ht="15" hidden="0" customHeight="1">
      <x:c r="A114" s="1" t="str">
        <x:v>3.csv</x:v>
      </x:c>
      <x:c r="B114" s="1" t="n">
        <x:v>-1.5</x:v>
      </x:c>
      <x:c r="C114" s="1" t="n">
        <x:v>10000</x:v>
      </x:c>
      <x:c r="D114" s="1" t="n">
        <x:v>4.6410346e-12</x:v>
      </x:c>
      <x:c r="E114" s="1" t="n">
        <x:v>4.6410346</x:v>
      </x:c>
      <x:c r="F114" s="1" t="n">
        <x:v>0.0069237048</x:v>
      </x:c>
      <x:c r="G114" s="1" t="n">
        <x:v>4.642697499406427e+22</x:v>
      </x:c>
      <x:c r="H114" s="11" t="b">
        <x:v>1</x:v>
      </x:c>
      <x:c r="I114" s="1"/>
      <x:c r="J114" s="1"/>
      <x:c r="K114" s="1"/>
      <x:c r="L114" s="1"/>
      <x:c r="M114" s="1"/>
      <x:c r="N114" s="1"/>
      <x:c r="O114" s="1"/>
      <x:c r="P114" s="1"/>
      <x:c r="Q114" s="1"/>
    </x:row>
    <x:row r="115" ht="15" hidden="0" customHeight="1">
      <x:c r="A115" s="1" t="str">
        <x:v>3.csv</x:v>
      </x:c>
      <x:c r="B115" s="1" t="n">
        <x:v>-1.4</x:v>
      </x:c>
      <x:c r="C115" s="1" t="n">
        <x:v>10000</x:v>
      </x:c>
      <x:c r="D115" s="1" t="n">
        <x:v>4.7480054e-12</x:v>
      </x:c>
      <x:c r="E115" s="1" t="n">
        <x:v>4.7480054</x:v>
      </x:c>
      <x:c r="F115" s="1" t="n">
        <x:v>0.0076868887</x:v>
      </x:c>
      <x:c r="G115" s="1" t="n">
        <x:v>4.4358575550718554e+22</x:v>
      </x:c>
      <x:c r="H115" s="11" t="b">
        <x:v>1</x:v>
      </x:c>
      <x:c r="I115" s="1"/>
      <x:c r="J115" s="1"/>
      <x:c r="K115" s="1"/>
      <x:c r="L115" s="1"/>
      <x:c r="M115" s="1"/>
      <x:c r="N115" s="1"/>
      <x:c r="O115" s="1"/>
      <x:c r="P115" s="1"/>
      <x:c r="Q115" s="1"/>
    </x:row>
    <x:row r="116" ht="15" hidden="0" customHeight="1">
      <x:c r="A116" s="1" t="str">
        <x:v>3.csv</x:v>
      </x:c>
      <x:c r="B116" s="1" t="n">
        <x:v>-1.3</x:v>
      </x:c>
      <x:c r="C116" s="1" t="n">
        <x:v>10000</x:v>
      </x:c>
      <x:c r="D116" s="1" t="n">
        <x:v>4.8751724e-12</x:v>
      </x:c>
      <x:c r="E116" s="1" t="n">
        <x:v>4.8751724</x:v>
      </x:c>
      <x:c r="F116" s="1" t="n">
        <x:v>0.0093279554</x:v>
      </x:c>
      <x:c r="G116" s="1" t="n">
        <x:v>4.2074604625233044e+22</x:v>
      </x:c>
      <x:c r="H116" s="11" t="b">
        <x:v>1</x:v>
      </x:c>
      <x:c r="I116" s="1"/>
      <x:c r="J116" s="1"/>
      <x:c r="K116" s="1"/>
      <x:c r="L116" s="1"/>
      <x:c r="M116" s="1"/>
      <x:c r="N116" s="1"/>
      <x:c r="O116" s="1"/>
      <x:c r="P116" s="1"/>
      <x:c r="Q116" s="1"/>
    </x:row>
    <x:row r="117" ht="15" hidden="0" customHeight="1">
      <x:c r="A117" s="1" t="str">
        <x:v>3.csv</x:v>
      </x:c>
      <x:c r="B117" s="1" t="n">
        <x:v>-1.2</x:v>
      </x:c>
      <x:c r="C117" s="1" t="n">
        <x:v>10000</x:v>
      </x:c>
      <x:c r="D117" s="1" t="n">
        <x:v>5.0053708e-12</x:v>
      </x:c>
      <x:c r="E117" s="1" t="n">
        <x:v>5.0053708</x:v>
      </x:c>
      <x:c r="F117" s="1" t="n">
        <x:v>0.008583499</x:v>
      </x:c>
      <x:c r="G117" s="1" t="n">
        <x:v>3.9914205460328675e+22</x:v>
      </x:c>
      <x:c r="H117" s="11" t="b">
        <x:v>1</x:v>
      </x:c>
      <x:c r="I117" s="1"/>
      <x:c r="J117" s="1"/>
      <x:c r="K117" s="1"/>
      <x:c r="L117" s="1"/>
      <x:c r="M117" s="1"/>
      <x:c r="N117" s="1"/>
      <x:c r="O117" s="1"/>
      <x:c r="P117" s="1"/>
      <x:c r="Q117" s="1"/>
    </x:row>
    <x:row r="118" ht="15" hidden="0" customHeight="1">
      <x:c r="A118" s="1" t="str">
        <x:v>3.csv</x:v>
      </x:c>
      <x:c r="B118" s="1" t="n">
        <x:v>-1.1</x:v>
      </x:c>
      <x:c r="C118" s="1" t="n">
        <x:v>10000</x:v>
      </x:c>
      <x:c r="D118" s="1" t="n">
        <x:v>5.1316938e-12</x:v>
      </x:c>
      <x:c r="E118" s="1" t="n">
        <x:v>5.1316938</x:v>
      </x:c>
      <x:c r="F118" s="1" t="n">
        <x:v>0.010847086</x:v>
      </x:c>
      <x:c r="G118" s="1" t="n">
        <x:v>3.797331661504014e+22</x:v>
      </x:c>
      <x:c r="H118" s="11" t="b">
        <x:v>1</x:v>
      </x:c>
      <x:c r="I118" s="1"/>
      <x:c r="J118" s="1"/>
      <x:c r="K118" s="1"/>
      <x:c r="L118" s="1"/>
      <x:c r="M118" s="1"/>
      <x:c r="N118" s="1"/>
      <x:c r="O118" s="1"/>
      <x:c r="P118" s="1"/>
      <x:c r="Q118" s="1"/>
    </x:row>
    <x:row r="119" ht="15" hidden="0" customHeight="1">
      <x:c r="A119" s="1" t="str">
        <x:v>3.csv</x:v>
      </x:c>
      <x:c r="B119" s="1" t="n">
        <x:v>-1</x:v>
      </x:c>
      <x:c r="C119" s="1" t="n">
        <x:v>10000</x:v>
      </x:c>
      <x:c r="D119" s="1" t="n">
        <x:v>5.2906222e-12</x:v>
      </x:c>
      <x:c r="E119" s="1" t="n">
        <x:v>5.2906222</x:v>
      </x:c>
      <x:c r="F119" s="1" t="n">
        <x:v>0.0087210386</x:v>
      </x:c>
      <x:c r="G119" s="1" t="n">
        <x:v>3.572617326269854e+22</x:v>
      </x:c>
      <x:c r="H119" s="11" t="b">
        <x:v>1</x:v>
      </x:c>
      <x:c r="I119" s="1"/>
      <x:c r="J119" s="1"/>
      <x:c r="K119" s="1"/>
      <x:c r="L119" s="1"/>
      <x:c r="M119" s="1"/>
      <x:c r="N119" s="1"/>
      <x:c r="O119" s="1"/>
      <x:c r="P119" s="1"/>
      <x:c r="Q119" s="1"/>
    </x:row>
    <x:row r="120" ht="15" hidden="0" customHeight="1">
      <x:c r="A120" s="1" t="str">
        <x:v>3.csv</x:v>
      </x:c>
      <x:c r="B120" s="1" t="n">
        <x:v>-0.9</x:v>
      </x:c>
      <x:c r="C120" s="1" t="n">
        <x:v>10000</x:v>
      </x:c>
      <x:c r="D120" s="1" t="n">
        <x:v>5.4549283e-12</x:v>
      </x:c>
      <x:c r="E120" s="1" t="n">
        <x:v>5.454928300000001</x:v>
      </x:c>
      <x:c r="F120" s="1" t="n">
        <x:v>0.0095596284</x:v>
      </x:c>
      <x:c r="G120" s="1" t="n">
        <x:v>3.360639339206943e+22</x:v>
      </x:c>
      <x:c r="H120" s="11" t="b">
        <x:v>1</x:v>
      </x:c>
      <x:c r="I120" s="1"/>
      <x:c r="J120" s="1"/>
      <x:c r="K120" s="1"/>
      <x:c r="L120" s="1"/>
      <x:c r="M120" s="1"/>
      <x:c r="N120" s="1"/>
      <x:c r="O120" s="1"/>
      <x:c r="P120" s="1"/>
      <x:c r="Q120" s="1"/>
    </x:row>
    <x:row r="121" ht="15" hidden="0" customHeight="1">
      <x:c r="A121" s="1" t="str">
        <x:v>3.csv</x:v>
      </x:c>
      <x:c r="B121" s="1" t="n">
        <x:v>-0.8</x:v>
      </x:c>
      <x:c r="C121" s="1" t="n">
        <x:v>10000</x:v>
      </x:c>
      <x:c r="D121" s="1" t="n">
        <x:v>5.6295663e-12</x:v>
      </x:c>
      <x:c r="E121" s="1" t="n">
        <x:v>5.6295663000000005</x:v>
      </x:c>
      <x:c r="F121" s="1" t="n">
        <x:v>0.010767635</x:v>
      </x:c>
      <x:c r="G121" s="1" t="n">
        <x:v>3.155368775179854e+22</x:v>
      </x:c>
      <x:c r="H121" s="11" t="b">
        <x:v>1</x:v>
      </x:c>
      <x:c r="I121" s="1"/>
      <x:c r="J121" s="1"/>
      <x:c r="K121" s="1"/>
      <x:c r="L121" s="1"/>
      <x:c r="M121" s="1"/>
      <x:c r="N121" s="1"/>
      <x:c r="O121" s="1"/>
      <x:c r="P121" s="1"/>
      <x:c r="Q121" s="1"/>
    </x:row>
    <x:row r="122" ht="15" hidden="0" customHeight="1">
      <x:c r="A122" s="1" t="str">
        <x:v>3.csv</x:v>
      </x:c>
      <x:c r="B122" s="1" t="n">
        <x:v>-0.7</x:v>
      </x:c>
      <x:c r="C122" s="1" t="n">
        <x:v>10000</x:v>
      </x:c>
      <x:c r="D122" s="1" t="n">
        <x:v>5.817685e-12</x:v>
      </x:c>
      <x:c r="E122" s="1" t="n">
        <x:v>5.817685</x:v>
      </x:c>
      <x:c r="F122" s="1" t="n">
        <x:v>-0.012117552</x:v>
      </x:c>
      <x:c r="G122" s="1" t="n">
        <x:v>2.9546061322848444e+22</x:v>
      </x:c>
      <x:c r="H122" s="11" t="b">
        <x:v>1</x:v>
      </x:c>
      <x:c r="I122" s="1"/>
      <x:c r="J122" s="1"/>
      <x:c r="K122" s="1"/>
      <x:c r="L122" s="1"/>
      <x:c r="M122" s="1"/>
      <x:c r="N122" s="1"/>
      <x:c r="O122" s="1"/>
      <x:c r="P122" s="1"/>
      <x:c r="Q122" s="1"/>
    </x:row>
    <x:row r="123" ht="15" hidden="0" customHeight="1">
      <x:c r="A123" s="1" t="str">
        <x:v>3.csv</x:v>
      </x:c>
      <x:c r="B123" s="1" t="n">
        <x:v>-0.6</x:v>
      </x:c>
      <x:c r="C123" s="1" t="n">
        <x:v>10000</x:v>
      </x:c>
      <x:c r="D123" s="1" t="n">
        <x:v>6.0047987e-12</x:v>
      </x:c>
      <x:c r="E123" s="1" t="n">
        <x:v>6.004798699999999</x:v>
      </x:c>
      <x:c r="F123" s="1" t="n">
        <x:v>0.03583884</x:v>
      </x:c>
      <x:c r="G123" s="1" t="n">
        <x:v>2.7733398618032824e+22</x:v>
      </x:c>
      <x:c r="H123" s="11" t="b">
        <x:v>1</x:v>
      </x:c>
      <x:c r="I123" s="1"/>
      <x:c r="J123" s="1"/>
      <x:c r="K123" s="1"/>
      <x:c r="L123" s="1"/>
      <x:c r="M123" s="1"/>
      <x:c r="N123" s="1"/>
      <x:c r="O123" s="1"/>
      <x:c r="P123" s="1"/>
      <x:c r="Q123" s="1"/>
    </x:row>
    <x:row r="124" ht="15" hidden="0" customHeight="1">
      <x:c r="A124" s="1" t="str">
        <x:v>3.csv</x:v>
      </x:c>
      <x:c r="B124" s="1" t="n">
        <x:v>-0.5</x:v>
      </x:c>
      <x:c r="C124" s="1" t="n">
        <x:v>10000</x:v>
      </x:c>
      <x:c r="D124" s="1" t="n">
        <x:v>6.1479616e-12</x:v>
      </x:c>
      <x:c r="E124" s="1" t="n">
        <x:v>6.1479615999999995</x:v>
      </x:c>
      <x:c r="F124" s="1" t="n">
        <x:v>0.022972516</x:v>
      </x:c>
      <x:c r="G124" s="1" t="n">
        <x:v>2.6456823954690984e+22</x:v>
      </x:c>
      <x:c r="H124" s="11" t="b">
        <x:v>1</x:v>
      </x:c>
      <x:c r="I124" s="1"/>
      <x:c r="J124" s="1"/>
      <x:c r="K124" s="1"/>
      <x:c r="L124" s="1"/>
      <x:c r="M124" s="1"/>
      <x:c r="N124" s="1"/>
      <x:c r="O124" s="1"/>
      <x:c r="P124" s="1"/>
      <x:c r="Q124" s="1"/>
    </x:row>
    <x:row r="125" ht="15" hidden="0" customHeight="1">
      <x:c r="A125" s="1" t="str">
        <x:v>3.csv</x:v>
      </x:c>
      <x:c r="B125" s="1" t="n">
        <x:v>-0.4</x:v>
      </x:c>
      <x:c r="C125" s="1" t="n">
        <x:v>10000</x:v>
      </x:c>
      <x:c r="D125" s="1" t="n">
        <x:v>6.6222809e-12</x:v>
      </x:c>
      <x:c r="E125" s="1" t="n">
        <x:v>6.6222809</x:v>
      </x:c>
      <x:c r="F125" s="1" t="n">
        <x:v>0.012489901</x:v>
      </x:c>
      <x:c r="G125" s="1" t="n">
        <x:v>2.280262279274612e+22</x:v>
      </x:c>
      <x:c r="H125" s="11" t="b">
        <x:v>1</x:v>
      </x:c>
      <x:c r="I125" s="1"/>
      <x:c r="J125" s="1"/>
      <x:c r="K125" s="1"/>
      <x:c r="L125" s="1"/>
      <x:c r="M125" s="1"/>
      <x:c r="N125" s="1"/>
      <x:c r="O125" s="1"/>
      <x:c r="P125" s="1"/>
      <x:c r="Q125" s="1"/>
    </x:row>
    <x:row r="126" ht="15" hidden="0" customHeight="1">
      <x:c r="A126" s="1" t="str">
        <x:v>3.csv</x:v>
      </x:c>
      <x:c r="B126" s="1" t="n">
        <x:v>-0.3</x:v>
      </x:c>
      <x:c r="C126" s="1" t="n">
        <x:v>10000</x:v>
      </x:c>
      <x:c r="D126" s="1" t="n">
        <x:v>6.9704131e-12</x:v>
      </x:c>
      <x:c r="E126" s="1" t="n">
        <x:v>6.9704131</x:v>
      </x:c>
      <x:c r="F126" s="1" t="n">
        <x:v>0.011783317</x:v>
      </x:c>
      <x:c r="G126" s="1" t="n">
        <x:v>2.0581781604539912e+22</x:v>
      </x:c>
      <x:c r="H126" s="11" t="b">
        <x:v>1</x:v>
      </x:c>
      <x:c r="I126" s="1"/>
      <x:c r="J126" s="1"/>
      <x:c r="K126" s="1"/>
      <x:c r="L126" s="1"/>
      <x:c r="M126" s="1"/>
      <x:c r="N126" s="1"/>
      <x:c r="O126" s="1"/>
      <x:c r="P126" s="1"/>
      <x:c r="Q126" s="1"/>
    </x:row>
    <x:row r="127" ht="15" hidden="0" customHeight="1">
      <x:c r="A127" s="1" t="str">
        <x:v>3.csv</x:v>
      </x:c>
      <x:c r="B127" s="1" t="n">
        <x:v>-0.2</x:v>
      </x:c>
      <x:c r="C127" s="1" t="n">
        <x:v>10000</x:v>
      </x:c>
      <x:c r="D127" s="1" t="n">
        <x:v>7.3845679e-12</x:v>
      </x:c>
      <x:c r="E127" s="1" t="n">
        <x:v>7.3845678999999995</x:v>
      </x:c>
      <x:c r="F127" s="1" t="n">
        <x:v>0.013243227</x:v>
      </x:c>
      <x:c r="G127" s="1" t="n">
        <x:v>1.8337909443509124e+22</x:v>
      </x:c>
      <x:c r="H127" s="11" t="b">
        <x:v>1</x:v>
      </x:c>
      <x:c r="I127" s="1"/>
      <x:c r="J127" s="1"/>
      <x:c r="K127" s="1"/>
      <x:c r="L127" s="1"/>
      <x:c r="M127" s="1"/>
      <x:c r="N127" s="1"/>
      <x:c r="O127" s="1"/>
      <x:c r="P127" s="1"/>
      <x:c r="Q127" s="1"/>
    </x:row>
    <x:row r="128" ht="15" hidden="0" customHeight="1">
      <x:c r="A128" s="1" t="str">
        <x:v>3.csv</x:v>
      </x:c>
      <x:c r="B128" s="1" t="n">
        <x:v>-0.1</x:v>
      </x:c>
      <x:c r="C128" s="1" t="n">
        <x:v>10000</x:v>
      </x:c>
      <x:c r="D128" s="1" t="n">
        <x:v>7.9092714e-12</x:v>
      </x:c>
      <x:c r="E128" s="1" t="n">
        <x:v>7.9092714</x:v>
      </x:c>
      <x:c r="F128" s="1" t="n">
        <x:v>0.013196536</x:v>
      </x:c>
      <x:c r="G128" s="1" t="n">
        <x:v>1.598553013372206e+22</x:v>
      </x:c>
      <x:c r="H128" s="11" t="b">
        <x:v>1</x:v>
      </x:c>
      <x:c r="I128" s="1"/>
      <x:c r="J128" s="1"/>
      <x:c r="K128" s="1"/>
      <x:c r="L128" s="1"/>
      <x:c r="M128" s="1"/>
      <x:c r="N128" s="1"/>
      <x:c r="O128" s="1"/>
      <x:c r="P128" s="1"/>
      <x:c r="Q128" s="1"/>
    </x:row>
    <x:row r="129" ht="15" hidden="0" customHeight="1">
      <x:c r="A129" s="1" t="str">
        <x:v>3.csv</x:v>
      </x:c>
      <x:c r="B129" s="1" t="n">
        <x:v>0</x:v>
      </x:c>
      <x:c r="C129" s="1" t="n">
        <x:v>10000</x:v>
      </x:c>
      <x:c r="D129" s="1" t="n">
        <x:v>8.5012857e-12</x:v>
      </x:c>
      <x:c r="E129" s="1" t="n">
        <x:v>8.5012857</x:v>
      </x:c>
      <x:c r="F129" s="1" t="n">
        <x:v>0.017071119</x:v>
      </x:c>
      <x:c r="G129" s="1" t="n">
        <x:v>1.3836644304177108e+22</x:v>
      </x:c>
      <x:c r="H129" s="11" t="b">
        <x:v>1</x:v>
      </x:c>
      <x:c r="I129" s="1"/>
      <x:c r="J129" s="1"/>
      <x:c r="K129" s="1"/>
      <x:c r="L129" s="1"/>
      <x:c r="M129" s="1"/>
      <x:c r="N129" s="1"/>
      <x:c r="O129" s="1"/>
      <x:c r="P129" s="1"/>
      <x:c r="Q129" s="1"/>
    </x:row>
    <x:row r="130" ht="15" hidden="0" customHeight="1">
      <x:c r="A130" s="1" t="str">
        <x:v>3.csv</x:v>
      </x:c>
      <x:c r="B130" s="1" t="n">
        <x:v>0.1</x:v>
      </x:c>
      <x:c r="C130" s="1" t="n">
        <x:v>10000</x:v>
      </x:c>
      <x:c r="D130" s="1" t="n">
        <x:v>9.296784e-12</x:v>
      </x:c>
      <x:c r="E130" s="1" t="n">
        <x:v>9.296783999999999</x:v>
      </x:c>
      <x:c r="F130" s="1" t="n">
        <x:v>0.10130975</x:v>
      </x:c>
      <x:c r="G130" s="1" t="n">
        <x:v>1.157003089160611e+22</x:v>
      </x:c>
      <x:c r="H130" s="11" t="b">
        <x:v>0</x:v>
      </x:c>
      <x:c r="I130" s="1"/>
      <x:c r="J130" s="1"/>
      <x:c r="K130" s="1"/>
      <x:c r="L130" s="1"/>
      <x:c r="M130" s="1"/>
      <x:c r="N130" s="1"/>
      <x:c r="O130" s="1"/>
      <x:c r="P130" s="1"/>
      <x:c r="Q130" s="1"/>
    </x:row>
    <x:row r="131" ht="15" hidden="0" customHeight="1">
      <x:c r="A131" s="1" t="str">
        <x:v>3.csv</x:v>
      </x:c>
      <x:c r="B131" s="1" t="n">
        <x:v>0.2</x:v>
      </x:c>
      <x:c r="C131" s="1" t="n">
        <x:v>10000</x:v>
      </x:c>
      <x:c r="D131" s="1" t="n">
        <x:v>1.1251222e-11</x:v>
      </x:c>
      <x:c r="E131" s="1" t="n">
        <x:v>11.251221999999999</x:v>
      </x:c>
      <x:c r="F131" s="1" t="n">
        <x:v>2.6142313</x:v>
      </x:c>
      <x:c r="G131" s="1" t="n">
        <x:v>7.899518348221562e+21</x:v>
      </x:c>
      <x:c r="H131" s="11" t="b">
        <x:v>0</x:v>
      </x:c>
      <x:c r="I131" s="1"/>
      <x:c r="J131" s="1"/>
      <x:c r="K131" s="1"/>
      <x:c r="L131" s="1"/>
      <x:c r="M131" s="1"/>
      <x:c r="N131" s="1"/>
      <x:c r="O131" s="1"/>
      <x:c r="P131" s="1"/>
      <x:c r="Q131" s="1"/>
    </x:row>
    <x:row r="132" ht="15" hidden="0" customHeight="1">
      <x:c r="A132" s="1" t="str">
        <x:v>3.csv</x:v>
      </x:c>
      <x:c r="B132" s="1" t="n">
        <x:v>0.3</x:v>
      </x:c>
      <x:c r="C132" s="1" t="n">
        <x:v>10000</x:v>
      </x:c>
      <x:c r="D132" s="1" t="n">
        <x:v>7.460485e-11</x:v>
      </x:c>
      <x:c r="E132" s="1" t="n">
        <x:v>74.60485</x:v>
      </x:c>
      <x:c r="F132" s="1" t="n">
        <x:v>2.5937564</x:v>
      </x:c>
      <x:c r="G132" s="1" t="n">
        <x:v>179665990891452860000</x:v>
      </x:c>
      <x:c r="H132" s="11" t="b">
        <x:v>0</x:v>
      </x:c>
      <x:c r="I132" s="1"/>
      <x:c r="J132" s="1"/>
      <x:c r="K132" s="1"/>
      <x:c r="L132" s="1"/>
      <x:c r="M132" s="1"/>
      <x:c r="N132" s="1"/>
      <x:c r="O132" s="1"/>
      <x:c r="P132" s="1"/>
      <x:c r="Q132" s="1"/>
    </x:row>
    <x:row r="133" ht="15" hidden="0" customHeight="1">
      <x:c r="A133" s="1" t="str">
        <x:v>3.csv</x:v>
      </x:c>
      <x:c r="B133" s="1" t="n">
        <x:v>0.4</x:v>
      </x:c>
      <x:c r="C133" s="1" t="n">
        <x:v>10000</x:v>
      </x:c>
      <x:c r="D133" s="1" t="n">
        <x:v>1.9402778e-10</x:v>
      </x:c>
      <x:c r="E133" s="1" t="n">
        <x:v>194.02778</x:v>
      </x:c>
      <x:c r="F133" s="1" t="n">
        <x:v>1.4951976</x:v>
      </x:c>
      <x:c r="G133" s="1" t="n">
        <x:v>26562697145043485000</x:v>
      </x:c>
      <x:c r="H133" s="11" t="b">
        <x:v>0</x:v>
      </x:c>
      <x:c r="I133" s="1"/>
      <x:c r="J133" s="1"/>
      <x:c r="K133" s="1"/>
      <x:c r="L133" s="1"/>
      <x:c r="M133" s="1"/>
      <x:c r="N133" s="1"/>
      <x:c r="O133" s="1"/>
      <x:c r="P133" s="1"/>
      <x:c r="Q133" s="1"/>
    </x:row>
    <x:row r="134" ht="15" hidden="0" customHeight="1">
      <x:c r="A134" s="1" t="str">
        <x:v>3.csv</x:v>
      </x:c>
      <x:c r="B134" s="1" t="n">
        <x:v>0.5</x:v>
      </x:c>
      <x:c r="C134" s="1" t="n">
        <x:v>10000</x:v>
      </x:c>
      <x:c r="D134" s="1" t="n">
        <x:v>2.5232302e-10</x:v>
      </x:c>
      <x:c r="E134" s="1" t="n">
        <x:v>252.32302</x:v>
      </x:c>
      <x:c r="F134" s="1" t="n">
        <x:v>1.2377503</x:v>
      </x:c>
      <x:c r="G134" s="1" t="n">
        <x:v>15706747134421811000</x:v>
      </x:c>
      <x:c r="H134" s="11" t="b">
        <x:v>0</x:v>
      </x:c>
      <x:c r="I134" s="1"/>
      <x:c r="J134" s="1"/>
      <x:c r="K134" s="1"/>
      <x:c r="L134" s="1"/>
      <x:c r="M134" s="1"/>
      <x:c r="N134" s="1"/>
      <x:c r="O134" s="1"/>
      <x:c r="P134" s="1"/>
      <x:c r="Q134" s="1"/>
    </x:row>
    <x:row r="135" ht="15" hidden="0" customHeight="1">
      <x:c r="A135" s="1" t="str">
        <x:v>3.csv</x:v>
      </x:c>
      <x:c r="B135" s="1" t="n">
        <x:v>0.6</x:v>
      </x:c>
      <x:c r="C135" s="1" t="n">
        <x:v>10000</x:v>
      </x:c>
      <x:c r="D135" s="1" t="n">
        <x:v>2.7900323e-10</x:v>
      </x:c>
      <x:c r="E135" s="1" t="n">
        <x:v>279.00323</x:v>
      </x:c>
      <x:c r="F135" s="1" t="n">
        <x:v>1.1573857</x:v>
      </x:c>
      <x:c r="G135" s="1" t="n">
        <x:v>12846402876122032000</x:v>
      </x:c>
      <x:c r="H135" s="11" t="b">
        <x:v>0</x:v>
      </x:c>
      <x:c r="I135" s="1"/>
      <x:c r="J135" s="1"/>
      <x:c r="K135" s="1"/>
      <x:c r="L135" s="1"/>
      <x:c r="M135" s="1"/>
      <x:c r="N135" s="1"/>
      <x:c r="O135" s="1"/>
      <x:c r="P135" s="1"/>
      <x:c r="Q135" s="1"/>
    </x:row>
    <x:row r="136" ht="15" hidden="0" customHeight="1">
      <x:c r="A136" s="1" t="str">
        <x:v>3.csv</x:v>
      </x:c>
      <x:c r="B136" s="1" t="n">
        <x:v>0.7</x:v>
      </x:c>
      <x:c r="C136" s="1" t="n">
        <x:v>10000</x:v>
      </x:c>
      <x:c r="D136" s="1" t="n">
        <x:v>2.9359875e-10</x:v>
      </x:c>
      <x:c r="E136" s="1" t="n">
        <x:v>293.59875</x:v>
      </x:c>
      <x:c r="F136" s="1" t="n">
        <x:v>1.1153157</x:v>
      </x:c>
      <x:c r="G136" s="1" t="n">
        <x:v>11600897658689126000</x:v>
      </x:c>
      <x:c r="H136" s="11" t="b">
        <x:v>0</x:v>
      </x:c>
      <x:c r="I136" s="1"/>
      <x:c r="J136" s="1"/>
      <x:c r="K136" s="1"/>
      <x:c r="L136" s="1"/>
      <x:c r="M136" s="1"/>
      <x:c r="N136" s="1"/>
      <x:c r="O136" s="1"/>
      <x:c r="P136" s="1"/>
      <x:c r="Q136" s="1"/>
    </x:row>
    <x:row r="137" ht="15" hidden="0" customHeight="1">
      <x:c r="A137" s="1" t="str">
        <x:v>4.csv</x:v>
      </x:c>
      <x:c r="B137" s="1" t="n">
        <x:v>-3</x:v>
      </x:c>
      <x:c r="C137" s="1" t="n">
        <x:v>10000</x:v>
      </x:c>
      <x:c r="D137" s="1" t="n">
        <x:v>3.8118901e-12</x:v>
      </x:c>
      <x:c r="E137" s="1" t="n">
        <x:v>3.8118901</x:v>
      </x:c>
      <x:c r="F137" s="1" t="n">
        <x:v>0.0072839557</x:v>
      </x:c>
      <x:c r="G137" s="1" t="n">
        <x:v>6.882072728541771e+22</x:v>
      </x:c>
      <x:c r="H137" s="11" t="b">
        <x:v>1</x:v>
      </x:c>
      <x:c r="I137" s="1"/>
      <x:c r="J137" s="1"/>
      <x:c r="K137" s="1"/>
      <x:c r="L137" s="1"/>
      <x:c r="M137" s="1"/>
      <x:c r="N137" s="1"/>
      <x:c r="O137" s="1"/>
      <x:c r="P137" s="1"/>
      <x:c r="Q137" s="1"/>
    </x:row>
    <x:row r="138" ht="15" hidden="0" customHeight="1">
      <x:c r="A138" s="1" t="str">
        <x:v>4.csv</x:v>
      </x:c>
      <x:c r="B138" s="1" t="n">
        <x:v>-2.9</x:v>
      </x:c>
      <x:c r="C138" s="1" t="n">
        <x:v>10000</x:v>
      </x:c>
      <x:c r="D138" s="1" t="n">
        <x:v>3.6791326e-12</x:v>
      </x:c>
      <x:c r="E138" s="1" t="n">
        <x:v>3.6791326</x:v>
      </x:c>
      <x:c r="F138" s="1" t="n">
        <x:v>0.0054783057</x:v>
      </x:c>
      <x:c r="G138" s="1" t="n">
        <x:v>7.387697747582173e+22</x:v>
      </x:c>
      <x:c r="H138" s="11" t="b">
        <x:v>1</x:v>
      </x:c>
      <x:c r="I138" s="1"/>
      <x:c r="J138" s="1"/>
      <x:c r="K138" s="1"/>
      <x:c r="L138" s="1"/>
      <x:c r="M138" s="1"/>
      <x:c r="N138" s="1"/>
      <x:c r="O138" s="1"/>
      <x:c r="P138" s="1"/>
      <x:c r="Q138" s="1"/>
    </x:row>
    <x:row r="139" ht="15" hidden="0" customHeight="1">
      <x:c r="A139" s="1" t="str">
        <x:v>4.csv</x:v>
      </x:c>
      <x:c r="B139" s="1" t="n">
        <x:v>-2.8</x:v>
      </x:c>
      <x:c r="C139" s="1" t="n">
        <x:v>10000</x:v>
      </x:c>
      <x:c r="D139" s="1" t="n">
        <x:v>3.7207083e-12</x:v>
      </x:c>
      <x:c r="E139" s="1" t="n">
        <x:v>3.7207082999999996</x:v>
      </x:c>
      <x:c r="F139" s="1" t="n">
        <x:v>0.0062739196</x:v>
      </x:c>
      <x:c r="G139" s="1" t="n">
        <x:v>7.223517908724622e+22</x:v>
      </x:c>
      <x:c r="H139" s="11" t="b">
        <x:v>1</x:v>
      </x:c>
      <x:c r="I139" s="1"/>
      <x:c r="J139" s="1"/>
      <x:c r="K139" s="1"/>
      <x:c r="L139" s="1"/>
      <x:c r="M139" s="1"/>
      <x:c r="N139" s="1"/>
      <x:c r="O139" s="1"/>
      <x:c r="P139" s="1"/>
      <x:c r="Q139" s="1"/>
    </x:row>
    <x:row r="140" ht="15" hidden="0" customHeight="1">
      <x:c r="A140" s="1" t="str">
        <x:v>4.csv</x:v>
      </x:c>
      <x:c r="B140" s="1" t="n">
        <x:v>-2.7</x:v>
      </x:c>
      <x:c r="C140" s="1" t="n">
        <x:v>10000</x:v>
      </x:c>
      <x:c r="D140" s="1" t="n">
        <x:v>3.7785374e-12</x:v>
      </x:c>
      <x:c r="E140" s="1" t="n">
        <x:v>3.7785374000000003</x:v>
      </x:c>
      <x:c r="F140" s="1" t="n">
        <x:v>0.0067112953</x:v>
      </x:c>
      <x:c r="G140" s="1" t="n">
        <x:v>7.0041034112496365e+22</x:v>
      </x:c>
      <x:c r="H140" s="11" t="b">
        <x:v>1</x:v>
      </x:c>
      <x:c r="I140" s="1"/>
      <x:c r="J140" s="1"/>
      <x:c r="K140" s="1"/>
      <x:c r="L140" s="1"/>
      <x:c r="M140" s="1"/>
      <x:c r="N140" s="1"/>
      <x:c r="O140" s="1"/>
      <x:c r="P140" s="1"/>
      <x:c r="Q140" s="1"/>
    </x:row>
    <x:row r="141" ht="15" hidden="0" customHeight="1">
      <x:c r="A141" s="1" t="str">
        <x:v>4.csv</x:v>
      </x:c>
      <x:c r="B141" s="1" t="n">
        <x:v>-2.6</x:v>
      </x:c>
      <x:c r="C141" s="1" t="n">
        <x:v>10000</x:v>
      </x:c>
      <x:c r="D141" s="1" t="n">
        <x:v>3.8148036e-12</x:v>
      </x:c>
      <x:c r="E141" s="1" t="n">
        <x:v>3.8148036</x:v>
      </x:c>
      <x:c r="F141" s="1" t="n">
        <x:v>0.0067542213</x:v>
      </x:c>
      <x:c r="G141" s="1" t="n">
        <x:v>6.871564579656842e+22</x:v>
      </x:c>
      <x:c r="H141" s="11" t="b">
        <x:v>1</x:v>
      </x:c>
      <x:c r="I141" s="1"/>
      <x:c r="J141" s="1"/>
      <x:c r="K141" s="1"/>
      <x:c r="L141" s="1"/>
      <x:c r="M141" s="1"/>
      <x:c r="N141" s="1"/>
      <x:c r="O141" s="1"/>
      <x:c r="P141" s="1"/>
      <x:c r="Q141" s="1"/>
    </x:row>
    <x:row r="142" ht="15" hidden="0" customHeight="1">
      <x:c r="A142" s="1" t="str">
        <x:v>4.csv</x:v>
      </x:c>
      <x:c r="B142" s="1" t="n">
        <x:v>-2.5</x:v>
      </x:c>
      <x:c r="C142" s="1" t="n">
        <x:v>10000</x:v>
      </x:c>
      <x:c r="D142" s="1" t="n">
        <x:v>3.900505e-12</x:v>
      </x:c>
      <x:c r="E142" s="1" t="n">
        <x:v>3.900505</x:v>
      </x:c>
      <x:c r="F142" s="1" t="n">
        <x:v>0.0054109575</x:v>
      </x:c>
      <x:c r="G142" s="1" t="n">
        <x:v>6.572919631381536e+22</x:v>
      </x:c>
      <x:c r="H142" s="11" t="b">
        <x:v>1</x:v>
      </x:c>
      <x:c r="I142" s="1"/>
      <x:c r="J142" s="1"/>
      <x:c r="K142" s="1"/>
      <x:c r="L142" s="1"/>
      <x:c r="M142" s="1"/>
      <x:c r="N142" s="1"/>
      <x:c r="O142" s="1"/>
      <x:c r="P142" s="1"/>
      <x:c r="Q142" s="1"/>
    </x:row>
    <x:row r="143" ht="15" hidden="0" customHeight="1">
      <x:c r="A143" s="1" t="str">
        <x:v>4.csv</x:v>
      </x:c>
      <x:c r="B143" s="1" t="n">
        <x:v>-2.4</x:v>
      </x:c>
      <x:c r="C143" s="1" t="n">
        <x:v>10000</x:v>
      </x:c>
      <x:c r="D143" s="1" t="n">
        <x:v>3.9569394e-12</x:v>
      </x:c>
      <x:c r="E143" s="1" t="n">
        <x:v>3.9569394</x:v>
      </x:c>
      <x:c r="F143" s="1" t="n">
        <x:v>0.0070599824</x:v>
      </x:c>
      <x:c r="G143" s="1" t="n">
        <x:v>6.3867688976194795e+22</x:v>
      </x:c>
      <x:c r="H143" s="11" t="b">
        <x:v>1</x:v>
      </x:c>
      <x:c r="I143" s="1"/>
      <x:c r="J143" s="1"/>
      <x:c r="K143" s="1"/>
      <x:c r="L143" s="1"/>
      <x:c r="M143" s="1"/>
      <x:c r="N143" s="1"/>
      <x:c r="O143" s="1"/>
      <x:c r="P143" s="1"/>
      <x:c r="Q143" s="1"/>
    </x:row>
    <x:row r="144" ht="15" hidden="0" customHeight="1">
      <x:c r="A144" s="1" t="str">
        <x:v>4.csv</x:v>
      </x:c>
      <x:c r="B144" s="1" t="n">
        <x:v>-2.3</x:v>
      </x:c>
      <x:c r="C144" s="1" t="n">
        <x:v>10000</x:v>
      </x:c>
      <x:c r="D144" s="1" t="n">
        <x:v>4.0246296e-12</x:v>
      </x:c>
      <x:c r="E144" s="1" t="n">
        <x:v>4.0246296</x:v>
      </x:c>
      <x:c r="F144" s="1" t="n">
        <x:v>0.0074181355</x:v>
      </x:c>
      <x:c r="G144" s="1" t="n">
        <x:v>6.173737587891053e+22</x:v>
      </x:c>
      <x:c r="H144" s="11" t="b">
        <x:v>1</x:v>
      </x:c>
      <x:c r="I144" s="1"/>
      <x:c r="J144" s="1"/>
      <x:c r="K144" s="1"/>
      <x:c r="L144" s="1"/>
      <x:c r="M144" s="1"/>
      <x:c r="N144" s="1"/>
      <x:c r="O144" s="1"/>
      <x:c r="P144" s="1"/>
      <x:c r="Q144" s="1"/>
    </x:row>
    <x:row r="145" ht="15" hidden="0" customHeight="1">
      <x:c r="A145" s="1" t="str">
        <x:v>4.csv</x:v>
      </x:c>
      <x:c r="B145" s="1" t="n">
        <x:v>-2.2</x:v>
      </x:c>
      <x:c r="C145" s="1" t="n">
        <x:v>10000</x:v>
      </x:c>
      <x:c r="D145" s="1" t="n">
        <x:v>4.09517e-12</x:v>
      </x:c>
      <x:c r="E145" s="1" t="n">
        <x:v>4.09517</x:v>
      </x:c>
      <x:c r="F145" s="1" t="n">
        <x:v>0.005851665</x:v>
      </x:c>
      <x:c r="G145" s="1" t="n">
        <x:v>5.962880829904735e+22</x:v>
      </x:c>
      <x:c r="H145" s="11" t="b">
        <x:v>1</x:v>
      </x:c>
      <x:c r="I145" s="1"/>
      <x:c r="J145" s="1"/>
      <x:c r="K145" s="1"/>
      <x:c r="L145" s="1"/>
      <x:c r="M145" s="1"/>
      <x:c r="N145" s="1"/>
      <x:c r="O145" s="1"/>
      <x:c r="P145" s="1"/>
      <x:c r="Q145" s="1"/>
    </x:row>
    <x:row r="146" ht="15" hidden="0" customHeight="1">
      <x:c r="A146" s="1" t="str">
        <x:v>4.csv</x:v>
      </x:c>
      <x:c r="B146" s="1" t="n">
        <x:v>-2.1</x:v>
      </x:c>
      <x:c r="C146" s="1" t="n">
        <x:v>10000</x:v>
      </x:c>
      <x:c r="D146" s="1" t="n">
        <x:v>4.1436638e-12</x:v>
      </x:c>
      <x:c r="E146" s="1" t="n">
        <x:v>4.1436638</x:v>
      </x:c>
      <x:c r="F146" s="1" t="n">
        <x:v>0.0082538769</x:v>
      </x:c>
      <x:c r="G146" s="1" t="n">
        <x:v>5.824128889160738e+22</x:v>
      </x:c>
      <x:c r="H146" s="11" t="b">
        <x:v>1</x:v>
      </x:c>
      <x:c r="I146" s="1"/>
      <x:c r="J146" s="1"/>
      <x:c r="K146" s="1"/>
      <x:c r="L146" s="1"/>
      <x:c r="M146" s="1"/>
      <x:c r="N146" s="1"/>
      <x:c r="O146" s="1"/>
      <x:c r="P146" s="1"/>
      <x:c r="Q146" s="1"/>
    </x:row>
    <x:row r="147" ht="15" hidden="0" customHeight="1">
      <x:c r="A147" s="1" t="str">
        <x:v>4.csv</x:v>
      </x:c>
      <x:c r="B147" s="1" t="n">
        <x:v>-2</x:v>
      </x:c>
      <x:c r="C147" s="1" t="n">
        <x:v>10000</x:v>
      </x:c>
      <x:c r="D147" s="1" t="n">
        <x:v>4.2195258e-12</x:v>
      </x:c>
      <x:c r="E147" s="1" t="n">
        <x:v>4.2195258</x:v>
      </x:c>
      <x:c r="F147" s="1" t="n">
        <x:v>0.0051945312</x:v>
      </x:c>
      <x:c r="G147" s="1" t="n">
        <x:v>5.616589795955819e+22</x:v>
      </x:c>
      <x:c r="H147" s="11" t="b">
        <x:v>1</x:v>
      </x:c>
      <x:c r="I147" s="1"/>
      <x:c r="J147" s="1"/>
      <x:c r="K147" s="1"/>
      <x:c r="L147" s="1"/>
      <x:c r="M147" s="1"/>
      <x:c r="N147" s="1"/>
      <x:c r="O147" s="1"/>
      <x:c r="P147" s="1"/>
      <x:c r="Q147" s="1"/>
    </x:row>
    <x:row r="148" ht="15" hidden="0" customHeight="1">
      <x:c r="A148" s="1" t="str">
        <x:v>4.csv</x:v>
      </x:c>
      <x:c r="B148" s="1" t="n">
        <x:v>-1.9</x:v>
      </x:c>
      <x:c r="C148" s="1" t="n">
        <x:v>10000</x:v>
      </x:c>
      <x:c r="D148" s="1" t="n">
        <x:v>4.3094504e-12</x:v>
      </x:c>
      <x:c r="E148" s="1" t="n">
        <x:v>4.3094504</x:v>
      </x:c>
      <x:c r="F148" s="1" t="n">
        <x:v>0.0052989185</x:v>
      </x:c>
      <x:c r="G148" s="1" t="n">
        <x:v>5.384634468985107e+22</x:v>
      </x:c>
      <x:c r="H148" s="11" t="b">
        <x:v>1</x:v>
      </x:c>
      <x:c r="I148" s="1"/>
      <x:c r="J148" s="1"/>
      <x:c r="K148" s="1"/>
      <x:c r="L148" s="1"/>
      <x:c r="M148" s="1"/>
      <x:c r="N148" s="1"/>
      <x:c r="O148" s="1"/>
      <x:c r="P148" s="1"/>
      <x:c r="Q148" s="1"/>
    </x:row>
    <x:row r="149" ht="15" hidden="0" customHeight="1">
      <x:c r="A149" s="1" t="str">
        <x:v>4.csv</x:v>
      </x:c>
      <x:c r="B149" s="1" t="n">
        <x:v>-1.8</x:v>
      </x:c>
      <x:c r="C149" s="1" t="n">
        <x:v>10000</x:v>
      </x:c>
      <x:c r="D149" s="1" t="n">
        <x:v>4.394029e-12</x:v>
      </x:c>
      <x:c r="E149" s="1" t="n">
        <x:v>4.394029</x:v>
      </x:c>
      <x:c r="F149" s="1" t="n">
        <x:v>0.0074290544</x:v>
      </x:c>
      <x:c r="G149" s="1" t="n">
        <x:v>5.17933690929526e+22</x:v>
      </x:c>
      <x:c r="H149" s="11" t="b">
        <x:v>1</x:v>
      </x:c>
      <x:c r="I149" s="1"/>
      <x:c r="J149" s="1"/>
      <x:c r="K149" s="1"/>
      <x:c r="L149" s="1"/>
      <x:c r="M149" s="1"/>
      <x:c r="N149" s="1"/>
      <x:c r="O149" s="1"/>
      <x:c r="P149" s="1"/>
      <x:c r="Q149" s="1"/>
    </x:row>
    <x:row r="150" ht="15" hidden="0" customHeight="1">
      <x:c r="A150" s="1" t="str">
        <x:v>4.csv</x:v>
      </x:c>
      <x:c r="B150" s="1" t="n">
        <x:v>-1.7</x:v>
      </x:c>
      <x:c r="C150" s="1" t="n">
        <x:v>10000</x:v>
      </x:c>
      <x:c r="D150" s="1" t="n">
        <x:v>4.4652815e-12</x:v>
      </x:c>
      <x:c r="E150" s="1" t="n">
        <x:v>4.465281500000001</x:v>
      </x:c>
      <x:c r="F150" s="1" t="n">
        <x:v>0.0085531342</x:v>
      </x:c>
      <x:c r="G150" s="1" t="n">
        <x:v>5.015362337142819e+22</x:v>
      </x:c>
      <x:c r="H150" s="11" t="b">
        <x:v>1</x:v>
      </x:c>
      <x:c r="I150" s="1"/>
      <x:c r="J150" s="1"/>
      <x:c r="K150" s="1"/>
      <x:c r="L150" s="1"/>
      <x:c r="M150" s="1"/>
      <x:c r="N150" s="1"/>
      <x:c r="O150" s="1"/>
      <x:c r="P150" s="1"/>
      <x:c r="Q150" s="1"/>
    </x:row>
    <x:row r="151" ht="15" hidden="0" customHeight="1">
      <x:c r="A151" s="1" t="str">
        <x:v>4.csv</x:v>
      </x:c>
      <x:c r="B151" s="1" t="n">
        <x:v>-1.6</x:v>
      </x:c>
      <x:c r="C151" s="1" t="n">
        <x:v>10000</x:v>
      </x:c>
      <x:c r="D151" s="1" t="n">
        <x:v>4.5641581e-12</x:v>
      </x:c>
      <x:c r="E151" s="1" t="n">
        <x:v>4.5641581</x:v>
      </x:c>
      <x:c r="F151" s="1" t="n">
        <x:v>0.0055716074</x:v>
      </x:c>
      <x:c r="G151" s="1" t="n">
        <x:v>4.800413412725491e+22</x:v>
      </x:c>
      <x:c r="H151" s="11" t="b">
        <x:v>1</x:v>
      </x:c>
      <x:c r="I151" s="1"/>
      <x:c r="J151" s="1"/>
      <x:c r="K151" s="1"/>
      <x:c r="L151" s="1"/>
      <x:c r="M151" s="1"/>
      <x:c r="N151" s="1"/>
      <x:c r="O151" s="1"/>
      <x:c r="P151" s="1"/>
      <x:c r="Q151" s="1"/>
    </x:row>
    <x:row r="152" ht="15" hidden="0" customHeight="1">
      <x:c r="A152" s="1" t="str">
        <x:v>4.csv</x:v>
      </x:c>
      <x:c r="B152" s="1" t="n">
        <x:v>-1.5</x:v>
      </x:c>
      <x:c r="C152" s="1" t="n">
        <x:v>10000</x:v>
      </x:c>
      <x:c r="D152" s="1" t="n">
        <x:v>4.6903137e-12</x:v>
      </x:c>
      <x:c r="E152" s="1" t="n">
        <x:v>4.6903137</x:v>
      </x:c>
      <x:c r="F152" s="1" t="n">
        <x:v>0.0090673444</x:v>
      </x:c>
      <x:c r="G152" s="1" t="n">
        <x:v>4.545652363069845e+22</x:v>
      </x:c>
      <x:c r="H152" s="11" t="b">
        <x:v>1</x:v>
      </x:c>
      <x:c r="I152" s="1"/>
      <x:c r="J152" s="1"/>
      <x:c r="K152" s="1"/>
      <x:c r="L152" s="1"/>
      <x:c r="M152" s="1"/>
      <x:c r="N152" s="1"/>
      <x:c r="O152" s="1"/>
      <x:c r="P152" s="1"/>
      <x:c r="Q152" s="1"/>
    </x:row>
    <x:row r="153" ht="15" hidden="0" customHeight="1">
      <x:c r="A153" s="1" t="str">
        <x:v>4.csv</x:v>
      </x:c>
      <x:c r="B153" s="1" t="n">
        <x:v>-1.4</x:v>
      </x:c>
      <x:c r="C153" s="1" t="n">
        <x:v>10000</x:v>
      </x:c>
      <x:c r="D153" s="1" t="n">
        <x:v>4.7761058e-12</x:v>
      </x:c>
      <x:c r="E153" s="1" t="n">
        <x:v>4.776105800000001</x:v>
      </x:c>
      <x:c r="F153" s="1" t="n">
        <x:v>0.012126087</x:v>
      </x:c>
      <x:c r="G153" s="1" t="n">
        <x:v>4.383814033765128e+22</x:v>
      </x:c>
      <x:c r="H153" s="11" t="b">
        <x:v>1</x:v>
      </x:c>
      <x:c r="I153" s="1"/>
      <x:c r="J153" s="1"/>
      <x:c r="K153" s="1"/>
      <x:c r="L153" s="1"/>
      <x:c r="M153" s="1"/>
      <x:c r="N153" s="1"/>
      <x:c r="O153" s="1"/>
      <x:c r="P153" s="1"/>
      <x:c r="Q153" s="1"/>
    </x:row>
    <x:row r="154" ht="15" hidden="0" customHeight="1">
      <x:c r="A154" s="1" t="str">
        <x:v>4.csv</x:v>
      </x:c>
      <x:c r="B154" s="1" t="n">
        <x:v>-1.3</x:v>
      </x:c>
      <x:c r="C154" s="1" t="n">
        <x:v>10000</x:v>
      </x:c>
      <x:c r="D154" s="1" t="n">
        <x:v>4.8931727e-12</x:v>
      </x:c>
      <x:c r="E154" s="1" t="n">
        <x:v>4.8931727</x:v>
      </x:c>
      <x:c r="F154" s="1" t="n">
        <x:v>0.0075362207</x:v>
      </x:c>
      <x:c r="G154" s="1" t="n">
        <x:v>4.1765617991518125e+22</x:v>
      </x:c>
      <x:c r="H154" s="11" t="b">
        <x:v>1</x:v>
      </x:c>
      <x:c r="I154" s="1"/>
      <x:c r="J154" s="1"/>
      <x:c r="K154" s="1"/>
      <x:c r="L154" s="1"/>
      <x:c r="M154" s="1"/>
      <x:c r="N154" s="1"/>
      <x:c r="O154" s="1"/>
      <x:c r="P154" s="1"/>
      <x:c r="Q154" s="1"/>
    </x:row>
    <x:row r="155" ht="15" hidden="0" customHeight="1">
      <x:c r="A155" s="1" t="str">
        <x:v>4.csv</x:v>
      </x:c>
      <x:c r="B155" s="1" t="n">
        <x:v>-1.2</x:v>
      </x:c>
      <x:c r="C155" s="1" t="n">
        <x:v>10000</x:v>
      </x:c>
      <x:c r="D155" s="1" t="n">
        <x:v>5.0903128e-12</x:v>
      </x:c>
      <x:c r="E155" s="1" t="n">
        <x:v>5.0903127999999995</x:v>
      </x:c>
      <x:c r="F155" s="1" t="n">
        <x:v>0.014582793</x:v>
      </x:c>
      <x:c r="G155" s="1" t="n">
        <x:v>3.859322388236533e+22</x:v>
      </x:c>
      <x:c r="H155" s="11" t="b">
        <x:v>1</x:v>
      </x:c>
      <x:c r="I155" s="1"/>
      <x:c r="J155" s="1"/>
      <x:c r="K155" s="1"/>
      <x:c r="L155" s="1"/>
      <x:c r="M155" s="1"/>
      <x:c r="N155" s="1"/>
      <x:c r="O155" s="1"/>
      <x:c r="P155" s="1"/>
      <x:c r="Q155" s="1"/>
    </x:row>
    <x:row r="156" ht="15" hidden="0" customHeight="1">
      <x:c r="A156" s="1" t="str">
        <x:v>4.csv</x:v>
      </x:c>
      <x:c r="B156" s="1" t="n">
        <x:v>-1.1</x:v>
      </x:c>
      <x:c r="C156" s="1" t="n">
        <x:v>10000</x:v>
      </x:c>
      <x:c r="D156" s="1" t="n">
        <x:v>5.2433158e-12</x:v>
      </x:c>
      <x:c r="E156" s="1" t="n">
        <x:v>5.2433157999999995</x:v>
      </x:c>
      <x:c r="F156" s="1" t="n">
        <x:v>0.0024374181</x:v>
      </x:c>
      <x:c r="G156" s="1" t="n">
        <x:v>3.6373740884984517e+22</x:v>
      </x:c>
      <x:c r="H156" s="11" t="b">
        <x:v>1</x:v>
      </x:c>
      <x:c r="I156" s="1"/>
      <x:c r="J156" s="1"/>
      <x:c r="K156" s="1"/>
      <x:c r="L156" s="1"/>
      <x:c r="M156" s="1"/>
      <x:c r="N156" s="1"/>
      <x:c r="O156" s="1"/>
      <x:c r="P156" s="1"/>
      <x:c r="Q156" s="1"/>
    </x:row>
    <x:row r="157" ht="15" hidden="0" customHeight="1">
      <x:c r="A157" s="1" t="str">
        <x:v>4.csv</x:v>
      </x:c>
      <x:c r="B157" s="1" t="n">
        <x:v>-1</x:v>
      </x:c>
      <x:c r="C157" s="1" t="n">
        <x:v>10000</x:v>
      </x:c>
      <x:c r="D157" s="1" t="n">
        <x:v>5.3215415e-12</x:v>
      </x:c>
      <x:c r="E157" s="1" t="n">
        <x:v>5.3215414999999995</x:v>
      </x:c>
      <x:c r="F157" s="1" t="n">
        <x:v>0.010525364</x:v>
      </x:c>
      <x:c r="G157" s="1" t="n">
        <x:v>3.53122258359546e+22</x:v>
      </x:c>
      <x:c r="H157" s="11" t="b">
        <x:v>1</x:v>
      </x:c>
      <x:c r="I157" s="1"/>
      <x:c r="J157" s="1"/>
      <x:c r="K157" s="1"/>
      <x:c r="L157" s="1"/>
      <x:c r="M157" s="1"/>
      <x:c r="N157" s="1"/>
      <x:c r="O157" s="1"/>
      <x:c r="P157" s="1"/>
      <x:c r="Q157" s="1"/>
    </x:row>
    <x:row r="158" ht="15" hidden="0" customHeight="1">
      <x:c r="A158" s="1" t="str">
        <x:v>4.csv</x:v>
      </x:c>
      <x:c r="B158" s="1" t="n">
        <x:v>-0.9</x:v>
      </x:c>
      <x:c r="C158" s="1" t="n">
        <x:v>10000</x:v>
      </x:c>
      <x:c r="D158" s="1" t="n">
        <x:v>5.484298e-12</x:v>
      </x:c>
      <x:c r="E158" s="1" t="n">
        <x:v>5.484298</x:v>
      </x:c>
      <x:c r="F158" s="1" t="n">
        <x:v>-0.0018505649</x:v>
      </x:c>
      <x:c r="G158" s="1" t="n">
        <x:v>3.3247416962270403e+22</x:v>
      </x:c>
      <x:c r="H158" s="11" t="b">
        <x:v>1</x:v>
      </x:c>
      <x:c r="I158" s="1"/>
      <x:c r="J158" s="1"/>
      <x:c r="K158" s="1"/>
      <x:c r="L158" s="1"/>
      <x:c r="M158" s="1"/>
      <x:c r="N158" s="1"/>
      <x:c r="O158" s="1"/>
      <x:c r="P158" s="1"/>
      <x:c r="Q158" s="1"/>
    </x:row>
    <x:row r="159" ht="15" hidden="0" customHeight="1">
      <x:c r="A159" s="1" t="str">
        <x:v>4.csv</x:v>
      </x:c>
      <x:c r="B159" s="1" t="n">
        <x:v>-0.8</x:v>
      </x:c>
      <x:c r="C159" s="1" t="n">
        <x:v>10000</x:v>
      </x:c>
      <x:c r="D159" s="1" t="n">
        <x:v>5.6678378e-12</x:v>
      </x:c>
      <x:c r="E159" s="1" t="n">
        <x:v>5.6678378</x:v>
      </x:c>
      <x:c r="F159" s="1" t="n">
        <x:v>0.0083380275</x:v>
      </x:c>
      <x:c r="G159" s="1" t="n">
        <x:v>3.1129000284905963e+22</x:v>
      </x:c>
      <x:c r="H159" s="11" t="b">
        <x:v>1</x:v>
      </x:c>
      <x:c r="I159" s="1"/>
      <x:c r="J159" s="1"/>
      <x:c r="K159" s="1"/>
      <x:c r="L159" s="1"/>
      <x:c r="M159" s="1"/>
      <x:c r="N159" s="1"/>
      <x:c r="O159" s="1"/>
      <x:c r="P159" s="1"/>
      <x:c r="Q159" s="1"/>
    </x:row>
    <x:row r="160" ht="15" hidden="0" customHeight="1">
      <x:c r="A160" s="1" t="str">
        <x:v>4.csv</x:v>
      </x:c>
      <x:c r="B160" s="1" t="n">
        <x:v>-0.7</x:v>
      </x:c>
      <x:c r="C160" s="1" t="n">
        <x:v>10000</x:v>
      </x:c>
      <x:c r="D160" s="1" t="n">
        <x:v>5.8154563e-12</x:v>
      </x:c>
      <x:c r="E160" s="1" t="n">
        <x:v>5.8154563</x:v>
      </x:c>
      <x:c r="F160" s="1" t="n">
        <x:v>0.0075488262</x:v>
      </x:c>
      <x:c r="G160" s="1" t="n">
        <x:v>2.9568711970168016e+22</x:v>
      </x:c>
      <x:c r="H160" s="11" t="b">
        <x:v>1</x:v>
      </x:c>
      <x:c r="I160" s="1"/>
      <x:c r="J160" s="1"/>
      <x:c r="K160" s="1"/>
      <x:c r="L160" s="1"/>
      <x:c r="M160" s="1"/>
      <x:c r="N160" s="1"/>
      <x:c r="O160" s="1"/>
      <x:c r="P160" s="1"/>
      <x:c r="Q160" s="1"/>
    </x:row>
    <x:row r="161" ht="15" hidden="0" customHeight="1">
      <x:c r="A161" s="1" t="str">
        <x:v>4.csv</x:v>
      </x:c>
      <x:c r="B161" s="1" t="n">
        <x:v>-0.6</x:v>
      </x:c>
      <x:c r="C161" s="1" t="n">
        <x:v>10000</x:v>
      </x:c>
      <x:c r="D161" s="1" t="n">
        <x:v>6.1341285e-12</x:v>
      </x:c>
      <x:c r="E161" s="1" t="n">
        <x:v>6.1341285</x:v>
      </x:c>
      <x:c r="F161" s="1" t="n">
        <x:v>0.011239198</x:v>
      </x:c>
      <x:c r="G161" s="1" t="n">
        <x:v>2.657628429950583e+22</x:v>
      </x:c>
      <x:c r="H161" s="11" t="b">
        <x:v>1</x:v>
      </x:c>
      <x:c r="I161" s="1"/>
      <x:c r="J161" s="1"/>
      <x:c r="K161" s="1"/>
      <x:c r="L161" s="1"/>
      <x:c r="M161" s="1"/>
      <x:c r="N161" s="1"/>
      <x:c r="O161" s="1"/>
      <x:c r="P161" s="1"/>
      <x:c r="Q161" s="1"/>
    </x:row>
    <x:row r="162" ht="15" hidden="0" customHeight="1">
      <x:c r="A162" s="1" t="str">
        <x:v>4.csv</x:v>
      </x:c>
      <x:c r="B162" s="1" t="n">
        <x:v>-0.5</x:v>
      </x:c>
      <x:c r="C162" s="1" t="n">
        <x:v>10000</x:v>
      </x:c>
      <x:c r="D162" s="1" t="n">
        <x:v>6.3820504e-12</x:v>
      </x:c>
      <x:c r="E162" s="1" t="n">
        <x:v>6.3820504</x:v>
      </x:c>
      <x:c r="F162" s="1" t="n">
        <x:v>0.0091689097</x:v>
      </x:c>
      <x:c r="G162" s="1" t="n">
        <x:v>2.4551585359336403e+22</x:v>
      </x:c>
      <x:c r="H162" s="11" t="b">
        <x:v>1</x:v>
      </x:c>
      <x:c r="I162" s="1"/>
      <x:c r="J162" s="1"/>
      <x:c r="K162" s="1"/>
      <x:c r="L162" s="1"/>
      <x:c r="M162" s="1"/>
      <x:c r="N162" s="1"/>
      <x:c r="O162" s="1"/>
      <x:c r="P162" s="1"/>
      <x:c r="Q162" s="1"/>
    </x:row>
    <x:row r="163" ht="15" hidden="0" customHeight="1">
      <x:c r="A163" s="1" t="str">
        <x:v>4.csv</x:v>
      </x:c>
      <x:c r="B163" s="1" t="n">
        <x:v>-0.2</x:v>
      </x:c>
      <x:c r="C163" s="1" t="n">
        <x:v>10000</x:v>
      </x:c>
      <x:c r="D163" s="1" t="n">
        <x:v>7.4501491e-12</x:v>
      </x:c>
      <x:c r="E163" s="1" t="n">
        <x:v>7.4501491</x:v>
      </x:c>
      <x:c r="F163" s="1" t="n">
        <x:v>0.012246591</x:v>
      </x:c>
      <x:c r="G163" s="1" t="n">
        <x:v>1.801648528185112e+22</x:v>
      </x:c>
      <x:c r="H163" s="11" t="b">
        <x:v>1</x:v>
      </x:c>
      <x:c r="I163" s="1"/>
      <x:c r="J163" s="1"/>
      <x:c r="K163" s="1"/>
      <x:c r="L163" s="1"/>
      <x:c r="M163" s="1"/>
      <x:c r="N163" s="1"/>
      <x:c r="O163" s="1"/>
      <x:c r="P163" s="1"/>
      <x:c r="Q163" s="1"/>
    </x:row>
    <x:row r="164" ht="15" hidden="0" customHeight="1">
      <x:c r="A164" s="1" t="str">
        <x:v>4.csv</x:v>
      </x:c>
      <x:c r="B164" s="1" t="n">
        <x:v>0.1</x:v>
      </x:c>
      <x:c r="C164" s="1" t="n">
        <x:v>10000</x:v>
      </x:c>
      <x:c r="D164" s="1" t="n">
        <x:v>9.3826805e-12</x:v>
      </x:c>
      <x:c r="E164" s="1" t="n">
        <x:v>9.382680500000001</x:v>
      </x:c>
      <x:c r="F164" s="1" t="n">
        <x:v>0.35934538</x:v>
      </x:c>
      <x:c r="G164" s="1" t="n">
        <x:v>1.1359158097512711e+22</x:v>
      </x:c>
      <x:c r="H164" s="11" t="b">
        <x:v>0</x:v>
      </x:c>
      <x:c r="I164" s="1"/>
      <x:c r="J164" s="1"/>
      <x:c r="K164" s="1"/>
      <x:c r="L164" s="1"/>
      <x:c r="M164" s="1"/>
      <x:c r="N164" s="1"/>
      <x:c r="O164" s="1"/>
      <x:c r="P164" s="1"/>
      <x:c r="Q164" s="1"/>
    </x:row>
    <x:row r="165" ht="15" hidden="0" customHeight="1">
      <x:c r="A165" s="1" t="str">
        <x:v>4.csv</x:v>
      </x:c>
      <x:c r="B165" s="1" t="n">
        <x:v>0.2</x:v>
      </x:c>
      <x:c r="C165" s="1" t="n">
        <x:v>10000</x:v>
      </x:c>
      <x:c r="D165" s="1" t="n">
        <x:v>1.5339034e-11</x:v>
      </x:c>
      <x:c r="E165" s="1" t="n">
        <x:v>15.339034</x:v>
      </x:c>
      <x:c r="F165" s="1" t="n">
        <x:v>4.1758089</x:v>
      </x:c>
      <x:c r="G165" s="1" t="n">
        <x:v>4.250147279393509e+21</x:v>
      </x:c>
      <x:c r="H165" s="11" t="b">
        <x:v>0</x:v>
      </x:c>
      <x:c r="I165" s="1"/>
      <x:c r="J165" s="1"/>
      <x:c r="K165" s="1"/>
      <x:c r="L165" s="1"/>
      <x:c r="M165" s="1"/>
      <x:c r="N165" s="1"/>
      <x:c r="O165" s="1"/>
      <x:c r="P165" s="1"/>
      <x:c r="Q165" s="1"/>
    </x:row>
    <x:row r="166" ht="15" hidden="0" customHeight="1">
      <x:c r="A166" s="1" t="str">
        <x:v>4.csv</x:v>
      </x:c>
      <x:c r="B166" s="1" t="n">
        <x:v>0.4</x:v>
      </x:c>
      <x:c r="C166" s="1" t="n">
        <x:v>10000</x:v>
      </x:c>
      <x:c r="D166" s="1" t="n">
        <x:v>2.0034449e-10</x:v>
      </x:c>
      <x:c r="E166" s="1" t="n">
        <x:v>200.34449</x:v>
      </x:c>
      <x:c r="F166" s="1" t="n">
        <x:v>1.6894033</x:v>
      </x:c>
      <x:c r="G166" s="1" t="n">
        <x:v>24914099502625860000</x:v>
      </x:c>
      <x:c r="H166" s="11" t="b">
        <x:v>0</x:v>
      </x:c>
      <x:c r="I166" s="1"/>
      <x:c r="J166" s="1"/>
      <x:c r="K166" s="1"/>
      <x:c r="L166" s="1"/>
      <x:c r="M166" s="1"/>
      <x:c r="N166" s="1"/>
      <x:c r="O166" s="1"/>
      <x:c r="P166" s="1"/>
      <x:c r="Q166" s="1"/>
    </x:row>
    <x:row r="167" ht="15" hidden="0" customHeight="1">
      <x:c r="A167" s="1" t="str">
        <x:v>4.csv</x:v>
      </x:c>
      <x:c r="B167" s="1" t="n">
        <x:v>0.5</x:v>
      </x:c>
      <x:c r="C167" s="1" t="n">
        <x:v>10000</x:v>
      </x:c>
      <x:c r="D167" s="1" t="n">
        <x:v>2.5607066e-10</x:v>
      </x:c>
      <x:c r="E167" s="1" t="n">
        <x:v>256.07066000000003</x:v>
      </x:c>
      <x:c r="F167" s="1" t="n">
        <x:v>1.5107492</x:v>
      </x:c>
      <x:c r="G167" s="1" t="n">
        <x:v>15250369220272706000</x:v>
      </x:c>
      <x:c r="H167" s="11" t="b">
        <x:v>0</x:v>
      </x:c>
      <x:c r="I167" s="1"/>
      <x:c r="J167" s="1"/>
      <x:c r="K167" s="1"/>
      <x:c r="L167" s="1"/>
      <x:c r="M167" s="1"/>
      <x:c r="N167" s="1"/>
      <x:c r="O167" s="1"/>
      <x:c r="P167" s="1"/>
      <x:c r="Q167" s="1"/>
    </x:row>
    <x:row r="168" ht="15" hidden="0" customHeight="1">
      <x:c r="A168" s="1" t="str">
        <x:v>4.csv</x:v>
      </x:c>
      <x:c r="B168" s="1" t="n">
        <x:v>0.6</x:v>
      </x:c>
      <x:c r="C168" s="1" t="n">
        <x:v>10000</x:v>
      </x:c>
      <x:c r="D168" s="1" t="n">
        <x:v>2.864256e-10</x:v>
      </x:c>
      <x:c r="E168" s="1" t="n">
        <x:v>286.42560000000003</x:v>
      </x:c>
      <x:c r="F168" s="1" t="n">
        <x:v>1.5001149</x:v>
      </x:c>
      <x:c r="G168" s="1" t="n">
        <x:v>12189231826711190000</x:v>
      </x:c>
      <x:c r="H168" s="11" t="b">
        <x:v>0</x:v>
      </x:c>
      <x:c r="I168" s="1"/>
      <x:c r="J168" s="1"/>
      <x:c r="K168" s="1"/>
      <x:c r="L168" s="1"/>
      <x:c r="M168" s="1"/>
      <x:c r="N168" s="1"/>
      <x:c r="O168" s="1"/>
      <x:c r="P168" s="1"/>
      <x:c r="Q168" s="1"/>
    </x:row>
    <x:row r="169" ht="15" hidden="0" customHeight="1">
      <x:c r="A169" s="1" t="str">
        <x:v>4.csv</x:v>
      </x:c>
      <x:c r="B169" s="1" t="n">
        <x:v>0.7</x:v>
      </x:c>
      <x:c r="C169" s="1" t="n">
        <x:v>10000</x:v>
      </x:c>
      <x:c r="D169" s="1" t="n">
        <x:v>3.0302993e-10</x:v>
      </x:c>
      <x:c r="E169" s="1" t="n">
        <x:v>303.02993</x:v>
      </x:c>
      <x:c r="F169" s="1" t="n">
        <x:v>1.5921597</x:v>
      </x:c>
      <x:c r="G169" s="1" t="n">
        <x:v>10890026811229508000</x:v>
      </x:c>
      <x:c r="H169" s="11" t="b">
        <x:v>0</x:v>
      </x:c>
      <x:c r="I169" s="1"/>
      <x:c r="J169" s="1"/>
      <x:c r="K169" s="1"/>
      <x:c r="L169" s="1"/>
      <x:c r="M169" s="1"/>
      <x:c r="N169" s="1"/>
      <x:c r="O169" s="1"/>
      <x:c r="P169" s="1"/>
      <x:c r="Q169" s="1"/>
    </x:row>
    <x:row r="170" ht="15" hidden="0" customHeight="1">
      <x:c r="A170" s="1" t="str">
        <x:v>4.csv</x:v>
      </x:c>
      <x:c r="B170" s="1" t="n">
        <x:v>0.8</x:v>
      </x:c>
      <x:c r="C170" s="1" t="n">
        <x:v>10000</x:v>
      </x:c>
      <x:c r="D170" s="1" t="n">
        <x:v>3.1462618e-10</x:v>
      </x:c>
      <x:c r="E170" s="1" t="n">
        <x:v>314.62618000000003</x:v>
      </x:c>
      <x:c r="F170" s="1" t="n">
        <x:v>1.7241347</x:v>
      </x:c>
      <x:c r="G170" s="1" t="n">
        <x:v>10102067946566124000</x:v>
      </x:c>
      <x:c r="H170" s="11" t="b">
        <x:v>0</x:v>
      </x:c>
      <x:c r="I170" s="1"/>
      <x:c r="J170" s="1"/>
      <x:c r="K170" s="1"/>
      <x:c r="L170" s="1"/>
      <x:c r="M170" s="1"/>
      <x:c r="N170" s="1"/>
      <x:c r="O170" s="1"/>
      <x:c r="P170" s="1"/>
      <x:c r="Q170" s="1"/>
    </x:row>
    <x:row r="171" ht="15" hidden="0" customHeight="1">
      <x:c r="A171" s="1" t="str">
        <x:v>4.csv</x:v>
      </x:c>
      <x:c r="B171" s="1" t="n">
        <x:v>0.9</x:v>
      </x:c>
      <x:c r="C171" s="1" t="n">
        <x:v>10000</x:v>
      </x:c>
      <x:c r="D171" s="1" t="n">
        <x:v>3.2246616e-10</x:v>
      </x:c>
      <x:c r="E171" s="1" t="n">
        <x:v>322.46616</x:v>
      </x:c>
      <x:c r="F171" s="1" t="n">
        <x:v>1.8675594</x:v>
      </x:c>
      <x:c r="G171" s="1" t="n">
        <x:v>9616824887935095000</x:v>
      </x:c>
      <x:c r="H171" s="11" t="b">
        <x:v>0</x:v>
      </x:c>
      <x:c r="I171" s="1"/>
      <x:c r="J171" s="1"/>
      <x:c r="K171" s="1"/>
      <x:c r="L171" s="1"/>
      <x:c r="M171" s="1"/>
      <x:c r="N171" s="1"/>
      <x:c r="O171" s="1"/>
      <x:c r="P171" s="1"/>
      <x:c r="Q171" s="1"/>
    </x:row>
    <x:row r="172" ht="15" hidden="0" customHeight="1">
      <x:c r="A172" s="1" t="str">
        <x:v>4.csv</x:v>
      </x:c>
      <x:c r="B172" s="1" t="n">
        <x:v>1</x:v>
      </x:c>
      <x:c r="C172" s="1" t="n">
        <x:v>10000</x:v>
      </x:c>
      <x:c r="D172" s="1" t="n">
        <x:v>3.2848098e-10</x:v>
      </x:c>
      <x:c r="E172" s="1" t="n">
        <x:v>328.48098</x:v>
      </x:c>
      <x:c r="F172" s="1" t="n">
        <x:v>2.037601</x:v>
      </x:c>
      <x:c r="G172" s="1" t="n">
        <x:v>9267861703788085000</x:v>
      </x:c>
      <x:c r="H172" s="11" t="b">
        <x:v>0</x:v>
      </x:c>
      <x:c r="I172" s="1"/>
      <x:c r="J172" s="1"/>
      <x:c r="K172" s="1"/>
      <x:c r="L172" s="1"/>
      <x:c r="M172" s="1"/>
      <x:c r="N172" s="1"/>
      <x:c r="O172" s="1"/>
      <x:c r="P172" s="1"/>
      <x:c r="Q172" s="1"/>
    </x:row>
    <x:row r="173" ht="15" hidden="0" customHeight="1">
      <x:c r="A173" s="1" t="str">
        <x:v>4.csv</x:v>
      </x:c>
      <x:c r="B173" s="1" t="n">
        <x:v>1.1</x:v>
      </x:c>
      <x:c r="C173" s="1" t="n">
        <x:v>10000</x:v>
      </x:c>
      <x:c r="D173" s="1" t="n">
        <x:v>3.3274477e-10</x:v>
      </x:c>
      <x:c r="E173" s="1" t="n">
        <x:v>332.74476999999996</x:v>
      </x:c>
      <x:c r="F173" s="1" t="n">
        <x:v>2.2237036</x:v>
      </x:c>
      <x:c r="G173" s="1" t="n">
        <x:v>9031866795463710000</x:v>
      </x:c>
      <x:c r="H173" s="11" t="b">
        <x:v>0</x:v>
      </x:c>
      <x:c r="I173" s="1"/>
      <x:c r="J173" s="1"/>
      <x:c r="K173" s="1"/>
      <x:c r="L173" s="1"/>
      <x:c r="M173" s="1"/>
      <x:c r="N173" s="1"/>
      <x:c r="O173" s="1"/>
      <x:c r="P173" s="1"/>
      <x:c r="Q173" s="1"/>
    </x:row>
    <x:row r="174" ht="15" hidden="0" customHeight="1">
      <x:c r="A174" s="1" t="str">
        <x:v>4.csv</x:v>
      </x:c>
      <x:c r="B174" s="1" t="n">
        <x:v>1.2</x:v>
      </x:c>
      <x:c r="C174" s="1" t="n">
        <x:v>10000</x:v>
      </x:c>
      <x:c r="D174" s="1" t="n">
        <x:v>3.353964e-10</x:v>
      </x:c>
      <x:c r="E174" s="1" t="n">
        <x:v>335.39639999999997</x:v>
      </x:c>
      <x:c r="F174" s="1" t="n">
        <x:v>2.3988716</x:v>
      </x:c>
      <x:c r="G174" s="1" t="n">
        <x:v>8889620197804150000</x:v>
      </x:c>
      <x:c r="H174" s="11" t="b">
        <x:v>0</x:v>
      </x:c>
      <x:c r="I174" s="1"/>
      <x:c r="J174" s="1"/>
      <x:c r="K174" s="1"/>
      <x:c r="L174" s="1"/>
      <x:c r="M174" s="1"/>
      <x:c r="N174" s="1"/>
      <x:c r="O174" s="1"/>
      <x:c r="P174" s="1"/>
      <x:c r="Q174" s="1"/>
    </x:row>
    <x:row r="175" ht="15" hidden="0" customHeight="1">
      <x:c r="A175" s="1" t="str">
        <x:v>5.csv</x:v>
      </x:c>
      <x:c r="B175" s="1" t="n">
        <x:v>-3</x:v>
      </x:c>
      <x:c r="C175" s="1" t="n">
        <x:v>10000</x:v>
      </x:c>
      <x:c r="D175" s="1" t="n">
        <x:v>3.6072734e-12</x:v>
      </x:c>
      <x:c r="E175" s="1" t="n">
        <x:v>3.6072734</x:v>
      </x:c>
      <x:c r="F175" s="1" t="n">
        <x:v>0.0095612852</x:v>
      </x:c>
      <x:c r="G175" s="1" t="n">
        <x:v>7.684964778012674e+22</x:v>
      </x:c>
      <x:c r="H175" s="11" t="b">
        <x:v>1</x:v>
      </x:c>
      <x:c r="I175" s="1"/>
      <x:c r="J175" s="1"/>
      <x:c r="K175" s="1"/>
      <x:c r="L175" s="1"/>
      <x:c r="M175" s="1"/>
      <x:c r="N175" s="1"/>
      <x:c r="O175" s="1"/>
      <x:c r="P175" s="1"/>
      <x:c r="Q175" s="1"/>
    </x:row>
    <x:row r="176" ht="15" hidden="0" customHeight="1">
      <x:c r="A176" s="1" t="str">
        <x:v>5.csv</x:v>
      </x:c>
      <x:c r="B176" s="1" t="n">
        <x:v>-2.9</x:v>
      </x:c>
      <x:c r="C176" s="1" t="n">
        <x:v>10000</x:v>
      </x:c>
      <x:c r="D176" s="1" t="n">
        <x:v>3.6484197e-12</x:v>
      </x:c>
      <x:c r="E176" s="1" t="n">
        <x:v>3.6484197</x:v>
      </x:c>
      <x:c r="F176" s="1" t="n">
        <x:v>0.0098133458</x:v>
      </x:c>
      <x:c r="G176" s="1" t="n">
        <x:v>7.512602593306599e+22</x:v>
      </x:c>
      <x:c r="H176" s="11" t="b">
        <x:v>1</x:v>
      </x:c>
      <x:c r="I176" s="1"/>
      <x:c r="J176" s="1"/>
      <x:c r="K176" s="1"/>
      <x:c r="L176" s="1"/>
      <x:c r="M176" s="1"/>
      <x:c r="N176" s="1"/>
      <x:c r="O176" s="1"/>
      <x:c r="P176" s="1"/>
      <x:c r="Q176" s="1"/>
    </x:row>
    <x:row r="177" ht="15" hidden="0" customHeight="1">
      <x:c r="A177" s="1" t="str">
        <x:v>5.csv</x:v>
      </x:c>
      <x:c r="B177" s="1" t="n">
        <x:v>-2.8</x:v>
      </x:c>
      <x:c r="C177" s="1" t="n">
        <x:v>10000</x:v>
      </x:c>
      <x:c r="D177" s="1" t="n">
        <x:v>3.7110498e-12</x:v>
      </x:c>
      <x:c r="E177" s="1" t="n">
        <x:v>3.7110498000000005</x:v>
      </x:c>
      <x:c r="F177" s="1" t="n">
        <x:v>0.0093078789</x:v>
      </x:c>
      <x:c r="G177" s="1" t="n">
        <x:v>7.261167168196775e+22</x:v>
      </x:c>
      <x:c r="H177" s="11" t="b">
        <x:v>1</x:v>
      </x:c>
      <x:c r="I177" s="1"/>
      <x:c r="J177" s="1"/>
      <x:c r="K177" s="1"/>
      <x:c r="L177" s="1"/>
      <x:c r="M177" s="1"/>
      <x:c r="N177" s="1"/>
      <x:c r="O177" s="1"/>
      <x:c r="P177" s="1"/>
      <x:c r="Q177" s="1"/>
    </x:row>
    <x:row r="178" ht="15" hidden="0" customHeight="1">
      <x:c r="A178" s="1" t="str">
        <x:v>5.csv</x:v>
      </x:c>
      <x:c r="B178" s="1" t="n">
        <x:v>-2.7</x:v>
      </x:c>
      <x:c r="C178" s="1" t="n">
        <x:v>10000</x:v>
      </x:c>
      <x:c r="D178" s="1" t="n">
        <x:v>3.7592425e-12</x:v>
      </x:c>
      <x:c r="E178" s="1" t="n">
        <x:v>3.7592425</x:v>
      </x:c>
      <x:c r="F178" s="1" t="n">
        <x:v>0.009543781</x:v>
      </x:c>
      <x:c r="G178" s="1" t="n">
        <x:v>7.07618724059507e+22</x:v>
      </x:c>
      <x:c r="H178" s="11" t="b">
        <x:v>1</x:v>
      </x:c>
      <x:c r="I178" s="1"/>
      <x:c r="J178" s="1"/>
      <x:c r="K178" s="1"/>
      <x:c r="L178" s="1"/>
      <x:c r="M178" s="1"/>
      <x:c r="N178" s="1"/>
      <x:c r="O178" s="1"/>
      <x:c r="P178" s="1"/>
      <x:c r="Q178" s="1"/>
    </x:row>
    <x:row r="179" ht="15" hidden="0" customHeight="1">
      <x:c r="A179" s="1" t="str">
        <x:v>5.csv</x:v>
      </x:c>
      <x:c r="B179" s="1" t="n">
        <x:v>-2.6</x:v>
      </x:c>
      <x:c r="C179" s="1" t="n">
        <x:v>10000</x:v>
      </x:c>
      <x:c r="D179" s="1" t="n">
        <x:v>3.8111528e-12</x:v>
      </x:c>
      <x:c r="E179" s="1" t="n">
        <x:v>3.8111528</x:v>
      </x:c>
      <x:c r="F179" s="1" t="n">
        <x:v>0.0096140512</x:v>
      </x:c>
      <x:c r="G179" s="1" t="n">
        <x:v>6.884735777392373e+22</x:v>
      </x:c>
      <x:c r="H179" s="11" t="b">
        <x:v>1</x:v>
      </x:c>
      <x:c r="I179" s="1"/>
      <x:c r="J179" s="1"/>
      <x:c r="K179" s="1"/>
      <x:c r="L179" s="1"/>
      <x:c r="M179" s="1"/>
      <x:c r="N179" s="1"/>
      <x:c r="O179" s="1"/>
      <x:c r="P179" s="1"/>
      <x:c r="Q179" s="1"/>
    </x:row>
    <x:row r="180" ht="15" hidden="0" customHeight="1">
      <x:c r="A180" s="1" t="str">
        <x:v>5.csv</x:v>
      </x:c>
      <x:c r="B180" s="1" t="n">
        <x:v>-2.5</x:v>
      </x:c>
      <x:c r="C180" s="1" t="n">
        <x:v>10000</x:v>
      </x:c>
      <x:c r="D180" s="1" t="n">
        <x:v>3.8714757e-12</x:v>
      </x:c>
      <x:c r="E180" s="1" t="n">
        <x:v>3.8714757</x:v>
      </x:c>
      <x:c r="F180" s="1" t="n">
        <x:v>0.009122922</x:v>
      </x:c>
      <x:c r="G180" s="1" t="n">
        <x:v>6.671859999928375e+22</x:v>
      </x:c>
      <x:c r="H180" s="11" t="b">
        <x:v>1</x:v>
      </x:c>
      <x:c r="I180" s="1"/>
      <x:c r="J180" s="1"/>
      <x:c r="K180" s="1"/>
      <x:c r="L180" s="1"/>
      <x:c r="M180" s="1"/>
      <x:c r="N180" s="1"/>
      <x:c r="O180" s="1"/>
      <x:c r="P180" s="1"/>
      <x:c r="Q180" s="1"/>
    </x:row>
    <x:row r="181" ht="15" hidden="0" customHeight="1">
      <x:c r="A181" s="1" t="str">
        <x:v>5.csv</x:v>
      </x:c>
      <x:c r="B181" s="1" t="n">
        <x:v>-2.4</x:v>
      </x:c>
      <x:c r="C181" s="1" t="n">
        <x:v>10000</x:v>
      </x:c>
      <x:c r="D181" s="1" t="n">
        <x:v>3.933473e-12</x:v>
      </x:c>
      <x:c r="E181" s="1" t="n">
        <x:v>3.933473</x:v>
      </x:c>
      <x:c r="F181" s="1" t="n">
        <x:v>0.010980024</x:v>
      </x:c>
      <x:c r="G181" s="1" t="n">
        <x:v>6.4632008628978825e+22</x:v>
      </x:c>
      <x:c r="H181" s="11" t="b">
        <x:v>1</x:v>
      </x:c>
      <x:c r="I181" s="1"/>
      <x:c r="J181" s="1"/>
      <x:c r="K181" s="1"/>
      <x:c r="L181" s="1"/>
      <x:c r="M181" s="1"/>
      <x:c r="N181" s="1"/>
      <x:c r="O181" s="1"/>
      <x:c r="P181" s="1"/>
      <x:c r="Q181" s="1"/>
    </x:row>
    <x:row r="182" ht="15" hidden="0" customHeight="1">
      <x:c r="A182" s="1" t="str">
        <x:v>5.csv</x:v>
      </x:c>
      <x:c r="B182" s="1" t="n">
        <x:v>-2.3</x:v>
      </x:c>
      <x:c r="C182" s="1" t="n">
        <x:v>10000</x:v>
      </x:c>
      <x:c r="D182" s="1" t="n">
        <x:v>4.0161733e-12</x:v>
      </x:c>
      <x:c r="E182" s="1" t="n">
        <x:v>4.0161733</x:v>
      </x:c>
      <x:c r="F182" s="1" t="n">
        <x:v>0.0056323641</x:v>
      </x:c>
      <x:c r="G182" s="1" t="n">
        <x:v>6.199763327201581e+22</x:v>
      </x:c>
      <x:c r="H182" s="11" t="b">
        <x:v>1</x:v>
      </x:c>
      <x:c r="I182" s="1"/>
      <x:c r="J182" s="1"/>
      <x:c r="K182" s="1"/>
      <x:c r="L182" s="1"/>
      <x:c r="M182" s="1"/>
      <x:c r="N182" s="1"/>
      <x:c r="O182" s="1"/>
      <x:c r="P182" s="1"/>
      <x:c r="Q182" s="1"/>
    </x:row>
    <x:row r="183" ht="15" hidden="0" customHeight="1">
      <x:c r="A183" s="1" t="str">
        <x:v>5.csv</x:v>
      </x:c>
      <x:c r="B183" s="1" t="n">
        <x:v>-2.2</x:v>
      </x:c>
      <x:c r="C183" s="1" t="n">
        <x:v>10000</x:v>
      </x:c>
      <x:c r="D183" s="1" t="n">
        <x:v>4.0697229e-12</x:v>
      </x:c>
      <x:c r="E183" s="1" t="n">
        <x:v>4.0697229</x:v>
      </x:c>
      <x:c r="F183" s="1" t="n">
        <x:v>0.012588763</x:v>
      </x:c>
      <x:c r="G183" s="1" t="n">
        <x:v>6.037683179394587e+22</x:v>
      </x:c>
      <x:c r="H183" s="11" t="b">
        <x:v>1</x:v>
      </x:c>
      <x:c r="I183" s="1"/>
      <x:c r="J183" s="1"/>
      <x:c r="K183" s="1"/>
      <x:c r="L183" s="1"/>
      <x:c r="M183" s="1"/>
      <x:c r="N183" s="1"/>
      <x:c r="O183" s="1"/>
      <x:c r="P183" s="1"/>
      <x:c r="Q183" s="1"/>
    </x:row>
    <x:row r="184" ht="15" hidden="0" customHeight="1">
      <x:c r="A184" s="1" t="str">
        <x:v>5.csv</x:v>
      </x:c>
      <x:c r="B184" s="1" t="n">
        <x:v>-2.1</x:v>
      </x:c>
      <x:c r="C184" s="1" t="n">
        <x:v>10000</x:v>
      </x:c>
      <x:c r="D184" s="1" t="n">
        <x:v>4.1222005e-12</x:v>
      </x:c>
      <x:c r="E184" s="1" t="n">
        <x:v>4.1222005</x:v>
      </x:c>
      <x:c r="F184" s="1" t="n">
        <x:v>0.010454699</x:v>
      </x:c>
      <x:c r="G184" s="1" t="n">
        <x:v>5.88493644135947e+22</x:v>
      </x:c>
      <x:c r="H184" s="11" t="b">
        <x:v>1</x:v>
      </x:c>
      <x:c r="I184" s="1"/>
      <x:c r="J184" s="1"/>
      <x:c r="K184" s="1"/>
      <x:c r="L184" s="1"/>
      <x:c r="M184" s="1"/>
      <x:c r="N184" s="1"/>
      <x:c r="O184" s="1"/>
      <x:c r="P184" s="1"/>
      <x:c r="Q184" s="1"/>
    </x:row>
    <x:row r="185" ht="15" hidden="0" customHeight="1">
      <x:c r="A185" s="1" t="str">
        <x:v>5.csv</x:v>
      </x:c>
      <x:c r="B185" s="1" t="n">
        <x:v>-2</x:v>
      </x:c>
      <x:c r="C185" s="1" t="n">
        <x:v>10000</x:v>
      </x:c>
      <x:c r="D185" s="1" t="n">
        <x:v>4.2125644e-12</x:v>
      </x:c>
      <x:c r="E185" s="1" t="n">
        <x:v>4.2125644</x:v>
      </x:c>
      <x:c r="F185" s="1" t="n">
        <x:v>0.006732514</x:v>
      </x:c>
      <x:c r="G185" s="1" t="n">
        <x:v>5.635168329574352e+22</x:v>
      </x:c>
      <x:c r="H185" s="11" t="b">
        <x:v>1</x:v>
      </x:c>
      <x:c r="I185" s="1"/>
      <x:c r="J185" s="1"/>
      <x:c r="K185" s="1"/>
      <x:c r="L185" s="1"/>
      <x:c r="M185" s="1"/>
      <x:c r="N185" s="1"/>
      <x:c r="O185" s="1"/>
      <x:c r="P185" s="1"/>
      <x:c r="Q185" s="1"/>
    </x:row>
    <x:row r="186" ht="15" hidden="0" customHeight="1">
      <x:c r="A186" s="1" t="str">
        <x:v>5.csv</x:v>
      </x:c>
      <x:c r="B186" s="1" t="n">
        <x:v>-1.9</x:v>
      </x:c>
      <x:c r="C186" s="1" t="n">
        <x:v>10000</x:v>
      </x:c>
      <x:c r="D186" s="1" t="n">
        <x:v>4.2884247e-12</x:v>
      </x:c>
      <x:c r="E186" s="1" t="n">
        <x:v>4.2884247</x:v>
      </x:c>
      <x:c r="F186" s="1" t="n">
        <x:v>0.0084250624</x:v>
      </x:c>
      <x:c r="G186" s="1" t="n">
        <x:v>5.4375645117459196e+22</x:v>
      </x:c>
      <x:c r="H186" s="11" t="b">
        <x:v>1</x:v>
      </x:c>
      <x:c r="I186" s="1"/>
      <x:c r="J186" s="1"/>
      <x:c r="K186" s="1"/>
      <x:c r="L186" s="1"/>
      <x:c r="M186" s="1"/>
      <x:c r="N186" s="1"/>
      <x:c r="O186" s="1"/>
      <x:c r="P186" s="1"/>
      <x:c r="Q186" s="1"/>
    </x:row>
    <x:row r="187" ht="15" hidden="0" customHeight="1">
      <x:c r="A187" s="1" t="str">
        <x:v>5.csv</x:v>
      </x:c>
      <x:c r="B187" s="1" t="n">
        <x:v>-1.8</x:v>
      </x:c>
      <x:c r="C187" s="1" t="n">
        <x:v>10000</x:v>
      </x:c>
      <x:c r="D187" s="1" t="n">
        <x:v>4.3716138e-12</x:v>
      </x:c>
      <x:c r="E187" s="1" t="n">
        <x:v>4.3716138</x:v>
      </x:c>
      <x:c r="F187" s="1" t="n">
        <x:v>0.012297363</x:v>
      </x:c>
      <x:c r="G187" s="1" t="n">
        <x:v>5.2325865857266225e+22</x:v>
      </x:c>
      <x:c r="H187" s="11" t="b">
        <x:v>1</x:v>
      </x:c>
      <x:c r="I187" s="1"/>
      <x:c r="J187" s="1"/>
      <x:c r="K187" s="1"/>
      <x:c r="L187" s="1"/>
      <x:c r="M187" s="1"/>
      <x:c r="N187" s="1"/>
      <x:c r="O187" s="1"/>
      <x:c r="P187" s="1"/>
      <x:c r="Q187" s="1"/>
    </x:row>
    <x:row r="188" ht="15" hidden="0" customHeight="1">
      <x:c r="A188" s="1" t="str">
        <x:v>5.csv</x:v>
      </x:c>
      <x:c r="B188" s="1" t="n">
        <x:v>-1.7</x:v>
      </x:c>
      <x:c r="C188" s="1" t="n">
        <x:v>10000</x:v>
      </x:c>
      <x:c r="D188" s="1" t="n">
        <x:v>4.4026046e-12</x:v>
      </x:c>
      <x:c r="E188" s="1" t="n">
        <x:v>4.4026046</x:v>
      </x:c>
      <x:c r="F188" s="1" t="n">
        <x:v>0.013916883</x:v>
      </x:c>
      <x:c r="G188" s="1" t="n">
        <x:v>5.159179448918122e+22</x:v>
      </x:c>
      <x:c r="H188" s="11" t="b">
        <x:v>1</x:v>
      </x:c>
      <x:c r="I188" s="1"/>
      <x:c r="J188" s="1"/>
      <x:c r="K188" s="1"/>
      <x:c r="L188" s="1"/>
      <x:c r="M188" s="1"/>
      <x:c r="N188" s="1"/>
      <x:c r="O188" s="1"/>
      <x:c r="P188" s="1"/>
      <x:c r="Q188" s="1"/>
    </x:row>
    <x:row r="189" ht="15" hidden="0" customHeight="1">
      <x:c r="A189" s="1" t="str">
        <x:v>5.csv</x:v>
      </x:c>
      <x:c r="B189" s="1" t="n">
        <x:v>-1.6</x:v>
      </x:c>
      <x:c r="C189" s="1" t="n">
        <x:v>10000</x:v>
      </x:c>
      <x:c r="D189" s="1" t="n">
        <x:v>4.539529e-12</x:v>
      </x:c>
      <x:c r="E189" s="1" t="n">
        <x:v>4.539529</x:v>
      </x:c>
      <x:c r="F189" s="1" t="n">
        <x:v>0.0062119839</x:v>
      </x:c>
      <x:c r="G189" s="1" t="n">
        <x:v>4.852643760212748e+22</x:v>
      </x:c>
      <x:c r="H189" s="11" t="b">
        <x:v>1</x:v>
      </x:c>
      <x:c r="I189" s="1"/>
      <x:c r="J189" s="1"/>
      <x:c r="K189" s="1"/>
      <x:c r="L189" s="1"/>
      <x:c r="M189" s="1"/>
      <x:c r="N189" s="1"/>
      <x:c r="O189" s="1"/>
      <x:c r="P189" s="1"/>
      <x:c r="Q189" s="1"/>
    </x:row>
    <x:row r="190" ht="15" hidden="0" customHeight="1">
      <x:c r="A190" s="1" t="str">
        <x:v>5.csv</x:v>
      </x:c>
      <x:c r="B190" s="1" t="n">
        <x:v>-1.5</x:v>
      </x:c>
      <x:c r="C190" s="1" t="n">
        <x:v>10000</x:v>
      </x:c>
      <x:c r="D190" s="1" t="n">
        <x:v>4.6664587e-12</x:v>
      </x:c>
      <x:c r="E190" s="1" t="n">
        <x:v>4.666458700000001</x:v>
      </x:c>
      <x:c r="F190" s="1" t="n">
        <x:v>0.0076481047</x:v>
      </x:c>
      <x:c r="G190" s="1" t="n">
        <x:v>4.592246025901726e+22</x:v>
      </x:c>
      <x:c r="H190" s="11" t="b">
        <x:v>1</x:v>
      </x:c>
      <x:c r="I190" s="1"/>
      <x:c r="J190" s="1"/>
      <x:c r="K190" s="1"/>
      <x:c r="L190" s="1"/>
      <x:c r="M190" s="1"/>
      <x:c r="N190" s="1"/>
      <x:c r="O190" s="1"/>
      <x:c r="P190" s="1"/>
      <x:c r="Q190" s="1"/>
    </x:row>
    <x:row r="191" ht="15" hidden="0" customHeight="1">
      <x:c r="A191" s="1" t="str">
        <x:v>5.csv</x:v>
      </x:c>
      <x:c r="B191" s="1" t="n">
        <x:v>-1.4</x:v>
      </x:c>
      <x:c r="C191" s="1" t="n">
        <x:v>10000</x:v>
      </x:c>
      <x:c r="D191" s="1" t="n">
        <x:v>4.7604729e-12</x:v>
      </x:c>
      <x:c r="E191" s="1" t="n">
        <x:v>4.7604729</x:v>
      </x:c>
      <x:c r="F191" s="1" t="n">
        <x:v>0.010594735</x:v>
      </x:c>
      <x:c r="G191" s="1" t="n">
        <x:v>4.412653291291234e+22</x:v>
      </x:c>
      <x:c r="H191" s="11" t="b">
        <x:v>1</x:v>
      </x:c>
      <x:c r="I191" s="1"/>
      <x:c r="J191" s="1"/>
      <x:c r="K191" s="1"/>
      <x:c r="L191" s="1"/>
      <x:c r="M191" s="1"/>
      <x:c r="N191" s="1"/>
      <x:c r="O191" s="1"/>
      <x:c r="P191" s="1"/>
      <x:c r="Q191" s="1"/>
    </x:row>
    <x:row r="192" ht="15" hidden="0" customHeight="1">
      <x:c r="A192" s="1" t="str">
        <x:v>5.csv</x:v>
      </x:c>
      <x:c r="B192" s="1" t="n">
        <x:v>-1.3</x:v>
      </x:c>
      <x:c r="C192" s="1" t="n">
        <x:v>10000</x:v>
      </x:c>
      <x:c r="D192" s="1" t="n">
        <x:v>4.8720473e-12</x:v>
      </x:c>
      <x:c r="E192" s="1" t="n">
        <x:v>4.8720473</x:v>
      </x:c>
      <x:c r="F192" s="1" t="n">
        <x:v>0.012253304</x:v>
      </x:c>
      <x:c r="G192" s="1" t="n">
        <x:v>4.212859815570845e+22</x:v>
      </x:c>
      <x:c r="H192" s="11" t="b">
        <x:v>1</x:v>
      </x:c>
      <x:c r="I192" s="1"/>
      <x:c r="J192" s="1"/>
      <x:c r="K192" s="1"/>
      <x:c r="L192" s="1"/>
      <x:c r="M192" s="1"/>
      <x:c r="N192" s="1"/>
      <x:c r="O192" s="1"/>
      <x:c r="P192" s="1"/>
      <x:c r="Q192" s="1"/>
    </x:row>
    <x:row r="193" ht="15" hidden="0" customHeight="1">
      <x:c r="A193" s="1" t="str">
        <x:v>5.csv</x:v>
      </x:c>
      <x:c r="B193" s="1" t="n">
        <x:v>-1.2</x:v>
      </x:c>
      <x:c r="C193" s="1" t="n">
        <x:v>10000</x:v>
      </x:c>
      <x:c r="D193" s="1" t="n">
        <x:v>4.9789717e-12</x:v>
      </x:c>
      <x:c r="E193" s="1" t="n">
        <x:v>4.978971700000001</x:v>
      </x:c>
      <x:c r="F193" s="1" t="n">
        <x:v>0.01742757</x:v>
      </x:c>
      <x:c r="G193" s="1" t="n">
        <x:v>4.033858727408063e+22</x:v>
      </x:c>
      <x:c r="H193" s="11" t="b">
        <x:v>1</x:v>
      </x:c>
      <x:c r="I193" s="1"/>
      <x:c r="J193" s="1"/>
      <x:c r="K193" s="1"/>
      <x:c r="L193" s="1"/>
      <x:c r="M193" s="1"/>
      <x:c r="N193" s="1"/>
      <x:c r="O193" s="1"/>
      <x:c r="P193" s="1"/>
      <x:c r="Q193" s="1"/>
    </x:row>
    <x:row r="194" ht="15" hidden="0" customHeight="1">
      <x:c r="A194" s="1" t="str">
        <x:v>5.csv</x:v>
      </x:c>
      <x:c r="B194" s="1" t="n">
        <x:v>-1.1</x:v>
      </x:c>
      <x:c r="C194" s="1" t="n">
        <x:v>10000</x:v>
      </x:c>
      <x:c r="D194" s="1" t="n">
        <x:v>5.085096e-12</x:v>
      </x:c>
      <x:c r="E194" s="1" t="n">
        <x:v>5.085096</x:v>
      </x:c>
      <x:c r="F194" s="1" t="n">
        <x:v>0.012637255</x:v>
      </x:c>
      <x:c r="G194" s="1" t="n">
        <x:v>3.867245007757542e+22</x:v>
      </x:c>
      <x:c r="H194" s="11" t="b">
        <x:v>1</x:v>
      </x:c>
      <x:c r="I194" s="1"/>
      <x:c r="J194" s="1"/>
      <x:c r="K194" s="1"/>
      <x:c r="L194" s="1"/>
      <x:c r="M194" s="1"/>
      <x:c r="N194" s="1"/>
      <x:c r="O194" s="1"/>
      <x:c r="P194" s="1"/>
      <x:c r="Q194" s="1"/>
    </x:row>
    <x:row r="195" ht="15" hidden="0" customHeight="1">
      <x:c r="A195" s="1" t="str">
        <x:v>5.csv</x:v>
      </x:c>
      <x:c r="B195" s="1" t="n">
        <x:v>-1</x:v>
      </x:c>
      <x:c r="C195" s="1" t="n">
        <x:v>10000</x:v>
      </x:c>
      <x:c r="D195" s="1" t="n">
        <x:v>5.2356943e-12</x:v>
      </x:c>
      <x:c r="E195" s="1" t="n">
        <x:v>5.2356943000000005</x:v>
      </x:c>
      <x:c r="F195" s="1" t="n">
        <x:v>0.0081530212</x:v>
      </x:c>
      <x:c r="G195" s="1" t="n">
        <x:v>3.6479715078273203e+22</x:v>
      </x:c>
      <x:c r="H195" s="11" t="b">
        <x:v>1</x:v>
      </x:c>
      <x:c r="I195" s="1"/>
      <x:c r="J195" s="1"/>
      <x:c r="K195" s="1"/>
      <x:c r="L195" s="1"/>
      <x:c r="M195" s="1"/>
      <x:c r="N195" s="1"/>
      <x:c r="O195" s="1"/>
      <x:c r="P195" s="1"/>
      <x:c r="Q195" s="1"/>
    </x:row>
    <x:row r="196" ht="15" hidden="0" customHeight="1">
      <x:c r="A196" s="1" t="str">
        <x:v>5.csv</x:v>
      </x:c>
      <x:c r="B196" s="1" t="n">
        <x:v>-0.9</x:v>
      </x:c>
      <x:c r="C196" s="1" t="n">
        <x:v>10000</x:v>
      </x:c>
      <x:c r="D196" s="1" t="n">
        <x:v>5.4540874e-12</x:v>
      </x:c>
      <x:c r="E196" s="1" t="n">
        <x:v>5.454087400000001</x:v>
      </x:c>
      <x:c r="F196" s="1" t="n">
        <x:v>0.0073256184</x:v>
      </x:c>
      <x:c r="G196" s="1" t="n">
        <x:v>3.3616756920423673e+22</x:v>
      </x:c>
      <x:c r="H196" s="11" t="b">
        <x:v>1</x:v>
      </x:c>
      <x:c r="I196" s="1"/>
      <x:c r="J196" s="1"/>
      <x:c r="K196" s="1"/>
      <x:c r="L196" s="1"/>
      <x:c r="M196" s="1"/>
      <x:c r="N196" s="1"/>
      <x:c r="O196" s="1"/>
      <x:c r="P196" s="1"/>
      <x:c r="Q196" s="1"/>
    </x:row>
    <x:row r="197" ht="15" hidden="0" customHeight="1">
      <x:c r="A197" s="1" t="str">
        <x:v>5.csv</x:v>
      </x:c>
      <x:c r="B197" s="1" t="n">
        <x:v>-0.8</x:v>
      </x:c>
      <x:c r="C197" s="1" t="n">
        <x:v>10000</x:v>
      </x:c>
      <x:c r="D197" s="1" t="n">
        <x:v>5.6623478e-12</x:v>
      </x:c>
      <x:c r="E197" s="1" t="n">
        <x:v>5.6623478</x:v>
      </x:c>
      <x:c r="F197" s="1" t="n">
        <x:v>0.010022919</x:v>
      </x:c>
      <x:c r="G197" s="1" t="n">
        <x:v>3.118939256946729e+22</x:v>
      </x:c>
      <x:c r="H197" s="11" t="b">
        <x:v>1</x:v>
      </x:c>
      <x:c r="I197" s="1"/>
      <x:c r="J197" s="1"/>
      <x:c r="K197" s="1"/>
      <x:c r="L197" s="1"/>
      <x:c r="M197" s="1"/>
      <x:c r="N197" s="1"/>
      <x:c r="O197" s="1"/>
      <x:c r="P197" s="1"/>
      <x:c r="Q197" s="1"/>
    </x:row>
    <x:row r="198" ht="15" hidden="0" customHeight="1">
      <x:c r="A198" s="1" t="str">
        <x:v>5.csv</x:v>
      </x:c>
      <x:c r="B198" s="1" t="n">
        <x:v>-0.7</x:v>
      </x:c>
      <x:c r="C198" s="1" t="n">
        <x:v>10000</x:v>
      </x:c>
      <x:c r="D198" s="1" t="n">
        <x:v>5.8542534e-12</x:v>
      </x:c>
      <x:c r="E198" s="1" t="n">
        <x:v>5.8542534</x:v>
      </x:c>
      <x:c r="F198" s="1" t="n">
        <x:v>0.0099954185</x:v>
      </x:c>
      <x:c r="G198" s="1" t="n">
        <x:v>2.9178097174091556e+22</x:v>
      </x:c>
      <x:c r="H198" s="11" t="b">
        <x:v>1</x:v>
      </x:c>
      <x:c r="I198" s="1"/>
      <x:c r="J198" s="1"/>
      <x:c r="K198" s="1"/>
      <x:c r="L198" s="1"/>
      <x:c r="M198" s="1"/>
      <x:c r="N198" s="1"/>
      <x:c r="O198" s="1"/>
      <x:c r="P198" s="1"/>
      <x:c r="Q198" s="1"/>
    </x:row>
    <x:row r="199" ht="15" hidden="0" customHeight="1">
      <x:c r="A199" s="1" t="str">
        <x:v>5.csv</x:v>
      </x:c>
      <x:c r="B199" s="1" t="n">
        <x:v>-0.6</x:v>
      </x:c>
      <x:c r="C199" s="1" t="n">
        <x:v>10000</x:v>
      </x:c>
      <x:c r="D199" s="1" t="n">
        <x:v>6.0754415e-12</x:v>
      </x:c>
      <x:c r="E199" s="1" t="n">
        <x:v>6.0754415</x:v>
      </x:c>
      <x:c r="F199" s="1" t="n">
        <x:v>0.010104589</x:v>
      </x:c>
      <x:c r="G199" s="1" t="n">
        <x:v>2.7092202504337698e+22</x:v>
      </x:c>
      <x:c r="H199" s="11" t="b">
        <x:v>1</x:v>
      </x:c>
      <x:c r="I199" s="1"/>
      <x:c r="J199" s="1"/>
      <x:c r="K199" s="1"/>
      <x:c r="L199" s="1"/>
      <x:c r="M199" s="1"/>
      <x:c r="N199" s="1"/>
      <x:c r="O199" s="1"/>
      <x:c r="P199" s="1"/>
      <x:c r="Q199" s="1"/>
    </x:row>
    <x:row r="200" ht="15" hidden="0" customHeight="1">
      <x:c r="A200" s="1" t="str">
        <x:v>5.csv</x:v>
      </x:c>
      <x:c r="B200" s="1" t="n">
        <x:v>-0.5</x:v>
      </x:c>
      <x:c r="C200" s="1" t="n">
        <x:v>10000</x:v>
      </x:c>
      <x:c r="D200" s="1" t="n">
        <x:v>6.3275996e-12</x:v>
      </x:c>
      <x:c r="E200" s="1" t="n">
        <x:v>6.3275996</x:v>
      </x:c>
      <x:c r="F200" s="1" t="n">
        <x:v>0.011741633</x:v>
      </x:c>
      <x:c r="G200" s="1" t="n">
        <x:v>2.497595022175099e+22</x:v>
      </x:c>
      <x:c r="H200" s="11" t="b">
        <x:v>1</x:v>
      </x:c>
      <x:c r="I200" s="1"/>
      <x:c r="J200" s="1"/>
      <x:c r="K200" s="1"/>
      <x:c r="L200" s="1"/>
      <x:c r="M200" s="1"/>
      <x:c r="N200" s="1"/>
      <x:c r="O200" s="1"/>
      <x:c r="P200" s="1"/>
      <x:c r="Q200" s="1"/>
    </x:row>
    <x:row r="201" ht="15" hidden="0" customHeight="1">
      <x:c r="A201" s="1" t="str">
        <x:v>5.csv</x:v>
      </x:c>
      <x:c r="B201" s="1" t="n">
        <x:v>-0.4</x:v>
      </x:c>
      <x:c r="C201" s="1" t="n">
        <x:v>10000</x:v>
      </x:c>
      <x:c r="D201" s="1" t="n">
        <x:v>6.6212497e-12</x:v>
      </x:c>
      <x:c r="E201" s="1" t="n">
        <x:v>6.6212497</x:v>
      </x:c>
      <x:c r="F201" s="1" t="n">
        <x:v>0.012444167</x:v>
      </x:c>
      <x:c r="G201" s="1" t="n">
        <x:v>2.2809725952041184e+22</x:v>
      </x:c>
      <x:c r="H201" s="11" t="b">
        <x:v>1</x:v>
      </x:c>
      <x:c r="I201" s="1"/>
      <x:c r="J201" s="1"/>
      <x:c r="K201" s="1"/>
      <x:c r="L201" s="1"/>
      <x:c r="M201" s="1"/>
      <x:c r="N201" s="1"/>
      <x:c r="O201" s="1"/>
      <x:c r="P201" s="1"/>
      <x:c r="Q201" s="1"/>
    </x:row>
    <x:row r="202" ht="15" hidden="0" customHeight="1">
      <x:c r="A202" s="1" t="str">
        <x:v>5.csv</x:v>
      </x:c>
      <x:c r="B202" s="1" t="n">
        <x:v>-0.3</x:v>
      </x:c>
      <x:c r="C202" s="1" t="n">
        <x:v>10000</x:v>
      </x:c>
      <x:c r="D202" s="1" t="n">
        <x:v>6.9728903e-12</x:v>
      </x:c>
      <x:c r="E202" s="1" t="n">
        <x:v>6.9728902999999995</x:v>
      </x:c>
      <x:c r="F202" s="1" t="n">
        <x:v>0.009522708</x:v>
      </x:c>
      <x:c r="G202" s="1" t="n">
        <x:v>2.056716036982713e+22</x:v>
      </x:c>
      <x:c r="H202" s="11" t="b">
        <x:v>1</x:v>
      </x:c>
      <x:c r="I202" s="1"/>
      <x:c r="J202" s="1"/>
      <x:c r="K202" s="1"/>
      <x:c r="L202" s="1"/>
      <x:c r="M202" s="1"/>
      <x:c r="N202" s="1"/>
      <x:c r="O202" s="1"/>
      <x:c r="P202" s="1"/>
      <x:c r="Q202" s="1"/>
    </x:row>
    <x:row r="203" ht="15" hidden="0" customHeight="1">
      <x:c r="A203" s="1" t="str">
        <x:v>5.csv</x:v>
      </x:c>
      <x:c r="B203" s="1" t="n">
        <x:v>0.3</x:v>
      </x:c>
      <x:c r="C203" s="1" t="n">
        <x:v>10000</x:v>
      </x:c>
      <x:c r="D203" s="1" t="n">
        <x:v>7.5760106e-11</x:v>
      </x:c>
      <x:c r="E203" s="1" t="n">
        <x:v>75.76010600000001</x:v>
      </x:c>
      <x:c r="F203" s="1" t="n">
        <x:v>2.6846392</x:v>
      </x:c>
      <x:c r="G203" s="1" t="n">
        <x:v>174228361629855600000</x:v>
      </x:c>
      <x:c r="H203" s="11" t="b">
        <x:v>0</x:v>
      </x:c>
      <x:c r="I203" s="1"/>
      <x:c r="J203" s="1"/>
      <x:c r="K203" s="1"/>
      <x:c r="L203" s="1"/>
      <x:c r="M203" s="1"/>
      <x:c r="N203" s="1"/>
      <x:c r="O203" s="1"/>
      <x:c r="P203" s="1"/>
      <x:c r="Q203" s="1"/>
    </x:row>
    <x:row r="204" ht="15" hidden="0" customHeight="1">
      <x:c r="A204" s="1" t="str">
        <x:v>5.csv</x:v>
      </x:c>
      <x:c r="B204" s="1" t="n">
        <x:v>0.4</x:v>
      </x:c>
      <x:c r="C204" s="1" t="n">
        <x:v>10000</x:v>
      </x:c>
      <x:c r="D204" s="1" t="n">
        <x:v>2.0725524e-10</x:v>
      </x:c>
      <x:c r="E204" s="1" t="n">
        <x:v>207.25524000000001</x:v>
      </x:c>
      <x:c r="F204" s="1" t="n">
        <x:v>1.5762716</x:v>
      </x:c>
      <x:c r="G204" s="1" t="n">
        <x:v>23280320818334580000</x:v>
      </x:c>
      <x:c r="H204" s="11" t="b">
        <x:v>0</x:v>
      </x:c>
      <x:c r="I204" s="1"/>
      <x:c r="J204" s="1"/>
      <x:c r="K204" s="1"/>
      <x:c r="L204" s="1"/>
      <x:c r="M204" s="1"/>
      <x:c r="N204" s="1"/>
      <x:c r="O204" s="1"/>
      <x:c r="P204" s="1"/>
      <x:c r="Q204" s="1"/>
    </x:row>
    <x:row r="205" ht="15" hidden="0" customHeight="1">
      <x:c r="A205" s="1" t="str">
        <x:v>5.csv</x:v>
      </x:c>
      <x:c r="B205" s="1" t="n">
        <x:v>0.5</x:v>
      </x:c>
      <x:c r="C205" s="1" t="n">
        <x:v>10000</x:v>
      </x:c>
      <x:c r="D205" s="1" t="n">
        <x:v>2.7131635e-10</x:v>
      </x:c>
      <x:c r="E205" s="1" t="n">
        <x:v>271.31635</x:v>
      </x:c>
      <x:c r="F205" s="1" t="n">
        <x:v>1.3539156</x:v>
      </x:c>
      <x:c r="G205" s="1" t="n">
        <x:v>13584637945694554000</x:v>
      </x:c>
      <x:c r="H205" s="11" t="b">
        <x:v>0</x:v>
      </x:c>
      <x:c r="I205" s="1"/>
      <x:c r="J205" s="1"/>
      <x:c r="K205" s="1"/>
      <x:c r="L205" s="1"/>
      <x:c r="M205" s="1"/>
      <x:c r="N205" s="1"/>
      <x:c r="O205" s="1"/>
      <x:c r="P205" s="1"/>
      <x:c r="Q205" s="1"/>
    </x:row>
    <x:row r="206" ht="15" hidden="0" customHeight="1">
      <x:c r="A206" s="1" t="str">
        <x:v>5.csv</x:v>
      </x:c>
      <x:c r="B206" s="1" t="n">
        <x:v>0.6</x:v>
      </x:c>
      <x:c r="C206" s="1" t="n">
        <x:v>10000</x:v>
      </x:c>
      <x:c r="D206" s="1" t="n">
        <x:v>2.993343e-10</x:v>
      </x:c>
      <x:c r="E206" s="1" t="n">
        <x:v>299.33430000000004</x:v>
      </x:c>
      <x:c r="F206" s="1" t="n">
        <x:v>1.3163873</x:v>
      </x:c>
      <x:c r="G206" s="1" t="n">
        <x:v>11160586841218093000</x:v>
      </x:c>
      <x:c r="H206" s="11" t="b">
        <x:v>0</x:v>
      </x:c>
      <x:c r="I206" s="1"/>
      <x:c r="J206" s="1"/>
      <x:c r="K206" s="1"/>
      <x:c r="L206" s="1"/>
      <x:c r="M206" s="1"/>
      <x:c r="N206" s="1"/>
      <x:c r="O206" s="1"/>
      <x:c r="P206" s="1"/>
      <x:c r="Q206" s="1"/>
    </x:row>
    <x:row r="207" ht="15" hidden="0" customHeight="1">
      <x:c r="A207" s="1" t="str">
        <x:v>5.csv</x:v>
      </x:c>
      <x:c r="B207" s="1" t="n">
        <x:v>0.7</x:v>
      </x:c>
      <x:c r="C207" s="1" t="n">
        <x:v>10000</x:v>
      </x:c>
      <x:c r="D207" s="1" t="n">
        <x:v>3.1695779e-10</x:v>
      </x:c>
      <x:c r="E207" s="1" t="n">
        <x:v>316.95779</x:v>
      </x:c>
      <x:c r="F207" s="1" t="n">
        <x:v>1.3335699</x:v>
      </x:c>
      <x:c r="G207" s="1" t="n">
        <x:v>9953988619133755000</x:v>
      </x:c>
      <x:c r="H207" s="11" t="b">
        <x:v>0</x:v>
      </x:c>
      <x:c r="I207" s="1"/>
      <x:c r="J207" s="1"/>
      <x:c r="K207" s="1"/>
      <x:c r="L207" s="1"/>
      <x:c r="M207" s="1"/>
      <x:c r="N207" s="1"/>
      <x:c r="O207" s="1"/>
      <x:c r="P207" s="1"/>
      <x:c r="Q207" s="1"/>
    </x:row>
    <x:row r="208" ht="15" hidden="0" customHeight="1">
      <x:c r="A208" s="1" t="str">
        <x:v>5.csv</x:v>
      </x:c>
      <x:c r="B208" s="1" t="n">
        <x:v>0.8</x:v>
      </x:c>
      <x:c r="C208" s="1" t="n">
        <x:v>10000</x:v>
      </x:c>
      <x:c r="D208" s="1" t="n">
        <x:v>3.2711041e-10</x:v>
      </x:c>
      <x:c r="E208" s="1" t="n">
        <x:v>327.11041</x:v>
      </x:c>
      <x:c r="F208" s="1" t="n">
        <x:v>1.37353</x:v>
      </x:c>
      <x:c r="G208" s="1" t="n">
        <x:v>9345687805358508000</x:v>
      </x:c>
      <x:c r="H208" s="11" t="b">
        <x:v>0</x:v>
      </x:c>
      <x:c r="I208" s="1"/>
      <x:c r="J208" s="1"/>
      <x:c r="K208" s="1"/>
      <x:c r="L208" s="1"/>
      <x:c r="M208" s="1"/>
      <x:c r="N208" s="1"/>
      <x:c r="O208" s="1"/>
      <x:c r="P208" s="1"/>
      <x:c r="Q208" s="1"/>
    </x:row>
    <x:row r="209" ht="15" hidden="0" customHeight="1">
      <x:c r="A209" s="1" t="str">
        <x:v>5.csv</x:v>
      </x:c>
      <x:c r="B209" s="1" t="n">
        <x:v>0.9</x:v>
      </x:c>
      <x:c r="C209" s="1" t="n">
        <x:v>10000</x:v>
      </x:c>
      <x:c r="D209" s="1" t="n">
        <x:v>3.3388577e-10</x:v>
      </x:c>
      <x:c r="E209" s="1" t="n">
        <x:v>333.88577</x:v>
      </x:c>
      <x:c r="F209" s="1" t="n">
        <x:v>1.4310177</x:v>
      </x:c>
      <x:c r="G209" s="1" t="n">
        <x:v>8970242416727197000</x:v>
      </x:c>
      <x:c r="H209" s="11" t="b">
        <x:v>0</x:v>
      </x:c>
      <x:c r="I209" s="1"/>
      <x:c r="J209" s="1"/>
      <x:c r="K209" s="1"/>
      <x:c r="L209" s="1"/>
      <x:c r="M209" s="1"/>
      <x:c r="N209" s="1"/>
      <x:c r="O209" s="1"/>
      <x:c r="P209" s="1"/>
      <x:c r="Q209" s="1"/>
    </x:row>
    <x:row r="210" ht="15" hidden="0" customHeight="1">
      <x:c r="A210" s="1" t="str">
        <x:v>5.csv</x:v>
      </x:c>
      <x:c r="B210" s="1" t="n">
        <x:v>1</x:v>
      </x:c>
      <x:c r="C210" s="1" t="n">
        <x:v>10000</x:v>
      </x:c>
      <x:c r="D210" s="1" t="n">
        <x:v>3.3863844e-10</x:v>
      </x:c>
      <x:c r="E210" s="1" t="n">
        <x:v>338.63844</x:v>
      </x:c>
      <x:c r="F210" s="1" t="n">
        <x:v>1.4974248</x:v>
      </x:c>
      <x:c r="G210" s="1" t="n">
        <x:v>8720220975998567000</x:v>
      </x:c>
      <x:c r="H210" s="11" t="b">
        <x:v>0</x:v>
      </x:c>
      <x:c r="I210" s="1"/>
      <x:c r="J210" s="1"/>
      <x:c r="K210" s="1"/>
      <x:c r="L210" s="1"/>
      <x:c r="M210" s="1"/>
      <x:c r="N210" s="1"/>
      <x:c r="O210" s="1"/>
      <x:c r="P210" s="1"/>
      <x:c r="Q210" s="1"/>
    </x:row>
    <x:row r="211" ht="15" hidden="0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</x:row>
    <x:row r="212" ht="15" hidden="0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</x:row>
    <x:row r="213" ht="15" hidden="0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</x:row>
    <x:row r="214" ht="15" hidden="0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</x:row>
    <x:row r="215" ht="15" hidden="0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</x:row>
    <x:row r="216" ht="15" hidden="0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</x:row>
    <x:row r="217" ht="15" hidden="0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</x:row>
    <x:row r="218" ht="15" hidden="0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</x:row>
    <x:row r="219" ht="15" hidden="0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</x:row>
    <x:row r="220" ht="15" hidden="0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</x:row>
    <x:row r="221" ht="15" hidden="0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</x:row>
    <x:row r="222" ht="15" hidden="0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</x:row>
    <x:row r="223" ht="15" hidden="0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</x:row>
    <x:row r="224" ht="15" hidden="0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</x:row>
    <x:row r="225" ht="15" hidden="0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</x:row>
    <x:row r="226" ht="15" hidden="0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</x:row>
    <x:row r="227" ht="15" hidden="0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</x:row>
    <x:row r="228" ht="15" hidden="0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</x:row>
    <x:row r="229" ht="15" hidden="0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</x:row>
    <x:row r="230" ht="15" hidden="0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</x:row>
    <x:row r="231" ht="15" hidden="0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</x:row>
    <x:row r="232" ht="15" hidden="0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</x:row>
    <x:row r="233" ht="15" hidden="0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</x:row>
    <x:row r="234" ht="15" hidden="0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</x:row>
    <x:row r="235" ht="15" hidden="0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</x:row>
    <x:row r="236" ht="15" hidden="0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</x:row>
    <x:row r="237" ht="15" hidden="0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</x:row>
    <x:row r="238" ht="15" hidden="0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</x:row>
    <x:row r="239" ht="15" hidden="0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</x:row>
    <x:row r="240" ht="15" hidden="0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0" hidden="0" customWidth="1"/>
  </x:cols>
  <x:sheetData>
    <x:row r="1" ht="15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19.200000762939453" hidden="0" customHeight="1">
      <x:c r="A2" s="2" t="str">
        <x:v>Method and equations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15" hidden="0" customHeight="1">
      <x:c r="A3" s="3" t="str">
        <x:v>Assumptions, quality rules and interpretation limits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15" hidden="0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</x:row>
    <x:row r="5" ht="15" hidden="0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15" hidden="0" customHeight="1">
      <x:c r="A6" s="9" t="str">
        <x:v>Item</x:v>
      </x:c>
      <x:c r="B6" s="9" t="str">
        <x:v>Description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15" hidden="0" customHeight="1">
      <x:c r="A7" s="1" t="str">
        <x:v>Device</x:v>
      </x:c>
      <x:c r="B7" s="10" t="str">
        <x:v>Pt 40 nm on non-degenerate n-Si; 400 C silicidation per device specification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15" hidden="0" customHeight="1">
      <x:c r="A8" s="1" t="str">
        <x:v>Electrode</x:v>
      </x:c>
      <x:c r="B8" s="10" t="str">
        <x:v>Circular Pt disk diameter 300 um; radius 150 um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15" hidden="0" customHeight="1">
      <x:c r="A9" s="1" t="str">
        <x:v>I-V window</x:v>
      </x:c>
      <x:c r="B9" s="10" t="str">
        <x:v>Only -1 V to +1 V is used in presentation and classification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15" hidden="0" customHeight="1">
      <x:c r="A10" s="1" t="str">
        <x:v>Offset correction</x:v>
      </x:c>
      <x:c r="B10" s="10" t="str">
        <x:v>I_corrected = I_raw - interpolated I(0)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15" hidden="0" customHeight="1">
      <x:c r="A11" s="1" t="str">
        <x:v>Rectification ratio</x:v>
      </x:c>
      <x:c r="B11" s="10" t="str">
        <x:v>abs(I(+V))/abs(I(-V)), reported at 0.5 V and 1 V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15" hidden="0" customHeight="1">
      <x:c r="A12" s="1" t="str">
        <x:v>Ohmic-like criterion</x:v>
      </x:c>
      <x:c r="B12" s="10" t="str">
        <x:v>Symmetry and near-zero linearity; label is relative unless the ideal criterion is met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15" hidden="0" customHeight="1">
      <x:c r="A13" s="1" t="str">
        <x:v>Schottky criterion</x:v>
      </x:c>
      <x:c r="B13" s="10" t="str">
        <x:v>RR at 1 V &gt;= 10 and forward ln(I)-V R2 &gt;= 0.98</x:v>
      </x:c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15" hidden="0" customHeight="1">
      <x:c r="A14" s="1" t="str">
        <x:v>C-V fit</x:v>
      </x:c>
      <x:c r="B14" s="10" t="str">
        <x:v>Numeric data with V &lt;= 0 V and dissipation factor D &lt;= 0.1</x:v>
      </x:c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15" hidden="0" customHeight="1">
      <x:c r="A15" s="1" t="str">
        <x:v>ND</x:v>
      </x:c>
      <x:c r="B15" s="10" t="str">
        <x:v>-2/(q*epsilon_Si*A^2*slope)</x:v>
      </x:c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15" hidden="0" customHeight="1">
      <x:c r="A16" s="1" t="str">
        <x:v>Vbi</x:v>
      </x:c>
      <x:c r="B16" s="10" t="str">
        <x:v>-intercept/slope (x-intercept of 1/C^2-V)</x:v>
      </x:c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15" hidden="0" customHeight="1">
      <x:c r="A17" s="1" t="str">
        <x:v>phi_n</x:v>
      </x:c>
      <x:c r="B17" s="10" t="str">
        <x:v>(kT/q)*LN(Nc/ND)</x:v>
      </x:c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15" hidden="0" customHeight="1">
      <x:c r="A18" s="1" t="str">
        <x:v>phi_B</x:v>
      </x:c>
      <x:c r="B18" s="10" t="str">
        <x:v>Vbi + phi_n</x:v>
      </x:c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15" hidden="0" customHeight="1">
      <x:c r="A19" s="1" t="str">
        <x:v>Limit</x:v>
      </x:c>
      <x:c r="B19" s="10" t="str">
        <x:v>I-V thermionic parameters are diagnostic; C-V is the primary quantitative extraction requested by the handout</x:v>
      </x:c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 ht="15" hidden="0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 ht="15" hidden="0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 ht="15" hidden="0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 ht="15" hidden="0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 ht="15" hidden="0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 ht="15" hidden="0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 ht="15" hidden="0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 ht="15" hidden="0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 ht="15" hidden="0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 ht="15" hidden="0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 ht="15" hidden="0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 ht="15" hidden="0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 ht="15" hidden="0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 ht="15" hidden="0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 ht="15" hidden="0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 ht="15" hidden="0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 ht="15" hidden="0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 ht="15" hidden="0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 ht="15" hidden="0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 ht="15" hidden="0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  <x:row r="101" ht="15" hidden="0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</x:row>
    <x:row r="102" ht="15" hidden="0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</x:row>
    <x:row r="103" ht="15" hidden="0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</x:row>
    <x:row r="104" ht="15" hidden="0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</x:row>
    <x:row r="105" ht="15" hidden="0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</x:row>
    <x:row r="106" ht="15" hidden="0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</x:row>
    <x:row r="107" ht="15" hidden="0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</x:row>
    <x:row r="108" ht="15" hidden="0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</x:row>
    <x:row r="109" ht="15" hidden="0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</x:row>
    <x:row r="110" ht="15" hidden="0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</x:row>
    <x:row r="111" ht="15" hidden="0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</x:row>
    <x:row r="112" ht="15" hidden="0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</x:row>
    <x:row r="113" ht="15" hidden="0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</x:row>
    <x:row r="114" ht="15" hidden="0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</x:row>
    <x:row r="115" ht="15" hidden="0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</x:row>
    <x:row r="116" ht="15" hidden="0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</x:row>
    <x:row r="117" ht="15" hidden="0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</x:row>
    <x:row r="118" ht="15" hidden="0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</x:row>
    <x:row r="119" ht="15" hidden="0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</x:row>
    <x:row r="120" ht="15" hidden="0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</x:row>
    <x:row r="121" ht="15" hidden="0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</x:row>
    <x:row r="122" ht="15" hidden="0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</x:row>
    <x:row r="123" ht="15" hidden="0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</x:row>
    <x:row r="124" ht="15" hidden="0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</x:row>
    <x:row r="125" ht="15" hidden="0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</x:row>
    <x:row r="126" ht="15" hidden="0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</x:row>
    <x:row r="127" ht="15" hidden="0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</x:row>
    <x:row r="128" ht="15" hidden="0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</x:row>
    <x:row r="129" ht="15" hidden="0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</x:row>
    <x:row r="130" ht="15" hidden="0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</x:row>
    <x:row r="131" ht="15" hidden="0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</x:row>
    <x:row r="132" ht="15" hidden="0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</x:row>
    <x:row r="133" ht="15" hidden="0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</x:row>
    <x:row r="134" ht="15" hidden="0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</x:row>
    <x:row r="135" ht="15" hidden="0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</x:row>
    <x:row r="136" ht="15" hidden="0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</x:row>
    <x:row r="137" ht="15" hidden="0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</x:row>
    <x:row r="138" ht="15" hidden="0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</x:row>
    <x:row r="139" ht="15" hidden="0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</x:row>
    <x:row r="140" ht="15" hidden="0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</x:row>
    <x:row r="141" ht="15" hidden="0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</x:row>
    <x:row r="142" ht="15" hidden="0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</x:row>
    <x:row r="143" ht="15" hidden="0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</x:row>
    <x:row r="144" ht="15" hidden="0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</x:row>
    <x:row r="145" ht="15" hidden="0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</x:row>
    <x:row r="146" ht="15" hidden="0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</x:row>
    <x:row r="147" ht="15" hidden="0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</x:row>
    <x:row r="148" ht="15" hidden="0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</x:row>
    <x:row r="149" ht="15" hidden="0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</x:row>
    <x:row r="150" ht="15" hidden="0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</x:row>
    <x:row r="151" ht="15" hidden="0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</x:row>
    <x:row r="152" ht="15" hidden="0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</x:row>
    <x:row r="153" ht="15" hidden="0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</x:row>
    <x:row r="154" ht="15" hidden="0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</x:row>
    <x:row r="155" ht="15" hidden="0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</x:row>
    <x:row r="156" ht="15" hidden="0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</x:row>
    <x:row r="157" ht="15" hidden="0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</x:row>
    <x:row r="158" ht="15" hidden="0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</x:row>
    <x:row r="159" ht="15" hidden="0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</x:row>
    <x:row r="160" ht="15" hidden="0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</x:row>
    <x:row r="161" ht="15" hidden="0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</x:row>
    <x:row r="162" ht="15" hidden="0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</x:row>
    <x:row r="163" ht="15" hidden="0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</x:row>
    <x:row r="164" ht="15" hidden="0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</x:row>
    <x:row r="165" ht="15" hidden="0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</x:row>
    <x:row r="166" ht="15" hidden="0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</x:row>
    <x:row r="167" ht="15" hidden="0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</x:row>
    <x:row r="168" ht="15" hidden="0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</x:row>
    <x:row r="169" ht="15" hidden="0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</x:row>
    <x:row r="170" ht="15" hidden="0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</x:row>
    <x:row r="171" ht="15" hidden="0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</x:row>
    <x:row r="172" ht="15" hidden="0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</x:row>
    <x:row r="173" ht="15" hidden="0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</x:row>
    <x:row r="174" ht="15" hidden="0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</x:row>
    <x:row r="175" ht="15" hidden="0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</x:row>
    <x:row r="176" ht="15" hidden="0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</x:row>
    <x:row r="177" ht="15" hidden="0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</x:row>
    <x:row r="178" ht="15" hidden="0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</x:row>
    <x:row r="179" ht="15" hidden="0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</x:row>
    <x:row r="180" ht="15" hidden="0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</x:row>
    <x:row r="181" ht="15" hidden="0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</x:row>
    <x:row r="182" ht="15" hidden="0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</x:row>
    <x:row r="183" ht="15" hidden="0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</x:row>
    <x:row r="184" ht="15" hidden="0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</x:row>
    <x:row r="185" ht="15" hidden="0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</x:row>
    <x:row r="186" ht="15" hidden="0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</x:row>
    <x:row r="187" ht="15" hidden="0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</x:row>
    <x:row r="188" ht="15" hidden="0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</x:row>
    <x:row r="189" ht="15" hidden="0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</x:row>
    <x:row r="190" ht="15" hidden="0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</x:row>
    <x:row r="191" ht="15" hidden="0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</x:row>
    <x:row r="192" ht="15" hidden="0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</x:row>
    <x:row r="193" ht="15" hidden="0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</x:row>
    <x:row r="194" ht="15" hidden="0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</x:row>
    <x:row r="195" ht="15" hidden="0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</x:row>
    <x:row r="196" ht="15" hidden="0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</x:row>
    <x:row r="197" ht="15" hidden="0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</x:row>
    <x:row r="198" ht="15" hidden="0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</x:row>
    <x:row r="199" ht="15" hidden="0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</x:row>
    <x:row r="200" ht="15" hidden="0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</x:row>
    <x:row r="201" ht="15" hidden="0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</x:row>
    <x:row r="202" ht="15" hidden="0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</x:row>
    <x:row r="203" ht="15" hidden="0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</x:row>
    <x:row r="204" ht="15" hidden="0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</x:row>
    <x:row r="205" ht="15" hidden="0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</x:row>
    <x:row r="206" ht="15" hidden="0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</x:row>
    <x:row r="207" ht="15" hidden="0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</x:row>
    <x:row r="208" ht="15" hidden="0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</x:row>
    <x:row r="209" ht="15" hidden="0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</x:row>
    <x:row r="210" ht="15" hidden="0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</x:row>
    <x:row r="211" ht="15" hidden="0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</x:row>
    <x:row r="212" ht="15" hidden="0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</x:row>
    <x:row r="213" ht="15" hidden="0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</x:row>
    <x:row r="214" ht="15" hidden="0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</x:row>
    <x:row r="215" ht="15" hidden="0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</x:row>
    <x:row r="216" ht="15" hidden="0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</x:row>
    <x:row r="217" ht="15" hidden="0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</x:row>
    <x:row r="218" ht="15" hidden="0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</x:row>
    <x:row r="219" ht="15" hidden="0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</x:row>
    <x:row r="220" ht="15" hidden="0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</x:row>
    <x:row r="221" ht="15" hidden="0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</x:row>
    <x:row r="222" ht="15" hidden="0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</x:row>
    <x:row r="223" ht="15" hidden="0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</x:row>
    <x:row r="224" ht="15" hidden="0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</x:row>
    <x:row r="225" ht="15" hidden="0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</x:row>
    <x:row r="226" ht="15" hidden="0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</x:row>
    <x:row r="227" ht="15" hidden="0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</x:row>
    <x:row r="228" ht="15" hidden="0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</x:row>
    <x:row r="229" ht="15" hidden="0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</x:row>
    <x:row r="230" ht="15" hidden="0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</x:row>
    <x:row r="231" ht="15" hidden="0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</x:row>
    <x:row r="232" ht="15" hidden="0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</x:row>
    <x:row r="233" ht="15" hidden="0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</x:row>
    <x:row r="234" ht="15" hidden="0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</x:row>
    <x:row r="235" ht="15" hidden="0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</x:row>
    <x:row r="236" ht="15" hidden="0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</x:row>
    <x:row r="237" ht="15" hidden="0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</x:row>
    <x:row r="238" ht="15" hidden="0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</x:row>
    <x:row r="239" ht="15" hidden="0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</x:row>
    <x:row r="240" ht="15" hidden="0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</x:row>
  </x:sheetData>
  <x:pageMargins left="0.7" right="0.7" top="0.75" bottom="0.75" header="0.3" footer="0.3"/>
</x:worksheet>
</file>